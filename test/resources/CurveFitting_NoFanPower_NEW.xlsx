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ianchi/Documents/GitHub/EPWgen/resources/"/>
    </mc:Choice>
  </mc:AlternateContent>
  <xr:revisionPtr revIDLastSave="0" documentId="8_{8A25048E-843D-BD47-9E4B-C563872200DA}" xr6:coauthVersionLast="47" xr6:coauthVersionMax="47" xr10:uidLastSave="{00000000-0000-0000-0000-000000000000}"/>
  <bookViews>
    <workbookView xWindow="-51200" yWindow="-2140" windowWidth="51200" windowHeight="28300" activeTab="1" xr2:uid="{07EE7ED1-A6F3-2948-A523-0FF1356B3485}"/>
  </bookViews>
  <sheets>
    <sheet name="Capacity - OLD" sheetId="7" r:id="rId1"/>
    <sheet name="Capacity" sheetId="5" r:id="rId2"/>
    <sheet name="COP" sheetId="8" r:id="rId3"/>
    <sheet name="COP - Absolute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9" l="1"/>
  <c r="H46" i="9"/>
  <c r="H45" i="9"/>
  <c r="B39" i="9" s="1"/>
  <c r="H44" i="9"/>
  <c r="B48" i="9"/>
  <c r="B44" i="9"/>
  <c r="B43" i="9"/>
  <c r="B38" i="9"/>
  <c r="B34" i="9"/>
  <c r="B33" i="9"/>
  <c r="D79" i="9"/>
  <c r="W95" i="8"/>
  <c r="Y96" i="8"/>
  <c r="X96" i="8"/>
  <c r="W96" i="8"/>
  <c r="V96" i="8"/>
  <c r="Y95" i="8"/>
  <c r="X95" i="8"/>
  <c r="V95" i="8"/>
  <c r="Y94" i="8"/>
  <c r="X94" i="8"/>
  <c r="W94" i="8"/>
  <c r="V94" i="8"/>
  <c r="Y93" i="8"/>
  <c r="X93" i="8"/>
  <c r="W93" i="8"/>
  <c r="V93" i="8"/>
  <c r="Y88" i="8"/>
  <c r="X88" i="8"/>
  <c r="W88" i="8"/>
  <c r="V88" i="8"/>
  <c r="Y87" i="8"/>
  <c r="X87" i="8"/>
  <c r="W87" i="8"/>
  <c r="V87" i="8"/>
  <c r="Y86" i="8"/>
  <c r="X86" i="8"/>
  <c r="W86" i="8"/>
  <c r="V86" i="8"/>
  <c r="Y85" i="8"/>
  <c r="X85" i="8"/>
  <c r="W85" i="8"/>
  <c r="V85" i="8"/>
  <c r="W79" i="8"/>
  <c r="W78" i="8"/>
  <c r="W77" i="8"/>
  <c r="Y80" i="8"/>
  <c r="X80" i="8"/>
  <c r="W80" i="8"/>
  <c r="V80" i="8"/>
  <c r="Y79" i="8"/>
  <c r="X79" i="8"/>
  <c r="V79" i="8"/>
  <c r="Y78" i="8"/>
  <c r="X78" i="8"/>
  <c r="V78" i="8"/>
  <c r="Y77" i="8"/>
  <c r="X77" i="8"/>
  <c r="V77" i="8"/>
  <c r="V70" i="8"/>
  <c r="V71" i="8"/>
  <c r="V72" i="8"/>
  <c r="X70" i="8"/>
  <c r="Y70" i="8"/>
  <c r="X71" i="8"/>
  <c r="Y71" i="8"/>
  <c r="X72" i="8"/>
  <c r="Y72" i="8"/>
  <c r="W71" i="8"/>
  <c r="W72" i="8"/>
  <c r="W70" i="8"/>
  <c r="W69" i="8"/>
  <c r="X69" i="8"/>
  <c r="Y69" i="8"/>
  <c r="Z69" i="8"/>
  <c r="V69" i="8"/>
  <c r="Y80" i="9"/>
  <c r="Z80" i="9"/>
  <c r="Z96" i="9"/>
  <c r="Z95" i="9"/>
  <c r="Y96" i="9"/>
  <c r="P87" i="9"/>
  <c r="Y87" i="9" s="1"/>
  <c r="O79" i="9"/>
  <c r="Y79" i="9" s="1"/>
  <c r="D95" i="9"/>
  <c r="D94" i="9"/>
  <c r="D87" i="9"/>
  <c r="J87" i="9" s="1"/>
  <c r="D86" i="9"/>
  <c r="J79" i="9"/>
  <c r="P79" i="9" s="1"/>
  <c r="D78" i="9"/>
  <c r="I79" i="9" s="1"/>
  <c r="D77" i="9"/>
  <c r="H79" i="9" s="1"/>
  <c r="N79" i="9" s="1"/>
  <c r="Y78" i="9" s="1"/>
  <c r="D69" i="9"/>
  <c r="D68" i="9"/>
  <c r="R44" i="9"/>
  <c r="J49" i="9" s="1"/>
  <c r="H45" i="8"/>
  <c r="B48" i="8"/>
  <c r="B38" i="8"/>
  <c r="B34" i="8"/>
  <c r="B49" i="8"/>
  <c r="B44" i="8"/>
  <c r="B43" i="8"/>
  <c r="B33" i="8"/>
  <c r="B38" i="5"/>
  <c r="B39" i="5"/>
  <c r="B43" i="5"/>
  <c r="B44" i="5"/>
  <c r="B49" i="5"/>
  <c r="B48" i="5"/>
  <c r="S70" i="8"/>
  <c r="O49" i="8"/>
  <c r="O48" i="8"/>
  <c r="N47" i="8"/>
  <c r="M51" i="8"/>
  <c r="L50" i="8"/>
  <c r="L45" i="8"/>
  <c r="K47" i="8"/>
  <c r="J49" i="8"/>
  <c r="I50" i="8"/>
  <c r="I51" i="8"/>
  <c r="I49" i="8"/>
  <c r="I47" i="8"/>
  <c r="I45" i="8"/>
  <c r="H51" i="8"/>
  <c r="H50" i="8"/>
  <c r="H49" i="8"/>
  <c r="H48" i="8"/>
  <c r="H47" i="8"/>
  <c r="H46" i="8"/>
  <c r="H44" i="8"/>
  <c r="I48" i="8"/>
  <c r="R44" i="8"/>
  <c r="D95" i="8"/>
  <c r="J95" i="8" s="1"/>
  <c r="D94" i="8"/>
  <c r="D93" i="8" s="1"/>
  <c r="H95" i="8" s="1"/>
  <c r="D87" i="8"/>
  <c r="J87" i="8" s="1"/>
  <c r="D86" i="8"/>
  <c r="D85" i="8"/>
  <c r="H87" i="8" s="1"/>
  <c r="D79" i="8"/>
  <c r="J79" i="8" s="1"/>
  <c r="D78" i="8"/>
  <c r="I79" i="8" s="1"/>
  <c r="D77" i="8"/>
  <c r="D69" i="8"/>
  <c r="D68" i="8"/>
  <c r="D95" i="5"/>
  <c r="D94" i="5"/>
  <c r="D93" i="5"/>
  <c r="D87" i="5"/>
  <c r="D86" i="5"/>
  <c r="D85" i="5"/>
  <c r="D79" i="5"/>
  <c r="D78" i="5"/>
  <c r="D77" i="5"/>
  <c r="D70" i="5"/>
  <c r="D69" i="5"/>
  <c r="D68" i="5"/>
  <c r="D85" i="9" l="1"/>
  <c r="H87" i="9" s="1"/>
  <c r="N87" i="9" s="1"/>
  <c r="D70" i="9"/>
  <c r="I95" i="9"/>
  <c r="O95" i="9" s="1"/>
  <c r="J95" i="9"/>
  <c r="P95" i="9" s="1"/>
  <c r="H48" i="9"/>
  <c r="I50" i="9"/>
  <c r="Y77" i="9"/>
  <c r="K47" i="9"/>
  <c r="O49" i="9"/>
  <c r="N47" i="9"/>
  <c r="H50" i="9"/>
  <c r="B49" i="9" s="1"/>
  <c r="L50" i="9"/>
  <c r="I48" i="9"/>
  <c r="H51" i="9"/>
  <c r="I71" i="9"/>
  <c r="I45" i="9"/>
  <c r="H49" i="9"/>
  <c r="I87" i="9"/>
  <c r="O48" i="9"/>
  <c r="I51" i="9"/>
  <c r="L45" i="9"/>
  <c r="M51" i="9"/>
  <c r="I49" i="9"/>
  <c r="D93" i="9"/>
  <c r="H95" i="9" s="1"/>
  <c r="N95" i="9" s="1"/>
  <c r="I47" i="9"/>
  <c r="I75" i="8"/>
  <c r="I78" i="8" s="1"/>
  <c r="S76" i="8"/>
  <c r="H79" i="8"/>
  <c r="B39" i="8"/>
  <c r="P80" i="8"/>
  <c r="D70" i="8"/>
  <c r="J71" i="8" s="1"/>
  <c r="J67" i="8" s="1"/>
  <c r="J70" i="8" s="1"/>
  <c r="J72" i="8" s="1"/>
  <c r="J75" i="8"/>
  <c r="J78" i="8" s="1"/>
  <c r="Q80" i="8" s="1"/>
  <c r="S93" i="8"/>
  <c r="P96" i="8" s="1"/>
  <c r="I95" i="8"/>
  <c r="I91" i="8" s="1"/>
  <c r="I94" i="8" s="1"/>
  <c r="I96" i="8" s="1"/>
  <c r="O95" i="8" s="1"/>
  <c r="I80" i="8"/>
  <c r="O79" i="8" s="1"/>
  <c r="Q79" i="8"/>
  <c r="J83" i="8"/>
  <c r="J86" i="8" s="1"/>
  <c r="P87" i="8"/>
  <c r="P78" i="8"/>
  <c r="P79" i="8"/>
  <c r="S84" i="8"/>
  <c r="I87" i="8"/>
  <c r="J91" i="8"/>
  <c r="J94" i="8" s="1"/>
  <c r="O71" i="9" l="1"/>
  <c r="Y71" i="9" s="1"/>
  <c r="Y95" i="9"/>
  <c r="J71" i="9"/>
  <c r="P71" i="9" s="1"/>
  <c r="Y85" i="9"/>
  <c r="O87" i="9"/>
  <c r="Y86" i="9" s="1"/>
  <c r="H71" i="9"/>
  <c r="N71" i="9" s="1"/>
  <c r="Y70" i="9" s="1"/>
  <c r="Y69" i="9" s="1"/>
  <c r="H91" i="9"/>
  <c r="H83" i="9"/>
  <c r="H86" i="9" s="1"/>
  <c r="H75" i="9"/>
  <c r="J67" i="9"/>
  <c r="J70" i="9" s="1"/>
  <c r="J91" i="9"/>
  <c r="J94" i="9" s="1"/>
  <c r="P94" i="9" s="1"/>
  <c r="J75" i="9"/>
  <c r="J78" i="9" s="1"/>
  <c r="P78" i="9" s="1"/>
  <c r="J83" i="9"/>
  <c r="J86" i="9" s="1"/>
  <c r="P86" i="9" s="1"/>
  <c r="Z87" i="9" s="1"/>
  <c r="I67" i="9"/>
  <c r="I70" i="9" s="1"/>
  <c r="O70" i="9" s="1"/>
  <c r="Z71" i="9" s="1"/>
  <c r="I91" i="9"/>
  <c r="I94" i="9" s="1"/>
  <c r="O94" i="9" s="1"/>
  <c r="I75" i="9"/>
  <c r="I78" i="9" s="1"/>
  <c r="O78" i="9" s="1"/>
  <c r="Z79" i="9" s="1"/>
  <c r="I83" i="9"/>
  <c r="I86" i="9" s="1"/>
  <c r="O86" i="9" s="1"/>
  <c r="Z86" i="9" s="1"/>
  <c r="H94" i="9"/>
  <c r="H78" i="9"/>
  <c r="N78" i="9" s="1"/>
  <c r="Z78" i="9" s="1"/>
  <c r="H91" i="8"/>
  <c r="H94" i="8" s="1"/>
  <c r="H96" i="8" s="1"/>
  <c r="H75" i="8"/>
  <c r="H78" i="8" s="1"/>
  <c r="H83" i="8"/>
  <c r="H86" i="8" s="1"/>
  <c r="H88" i="8" s="1"/>
  <c r="P95" i="8"/>
  <c r="P94" i="8" s="1"/>
  <c r="H71" i="8"/>
  <c r="Q95" i="8"/>
  <c r="J80" i="8"/>
  <c r="O80" i="8" s="1"/>
  <c r="I71" i="8"/>
  <c r="J88" i="8"/>
  <c r="O87" i="8" s="1"/>
  <c r="Q87" i="8"/>
  <c r="P86" i="8"/>
  <c r="P85" i="8" s="1"/>
  <c r="I83" i="8"/>
  <c r="I86" i="8" s="1"/>
  <c r="H80" i="8"/>
  <c r="O78" i="8" s="1"/>
  <c r="O77" i="8" s="1"/>
  <c r="Q78" i="8"/>
  <c r="Q77" i="8" s="1"/>
  <c r="Q96" i="8"/>
  <c r="J96" i="8"/>
  <c r="O96" i="8" s="1"/>
  <c r="O94" i="8" s="1"/>
  <c r="P77" i="8"/>
  <c r="H96" i="9" l="1"/>
  <c r="N96" i="9" s="1"/>
  <c r="N94" i="9"/>
  <c r="J72" i="9"/>
  <c r="P72" i="9" s="1"/>
  <c r="P70" i="9"/>
  <c r="H88" i="9"/>
  <c r="N88" i="9" s="1"/>
  <c r="N86" i="9"/>
  <c r="H67" i="9"/>
  <c r="H70" i="9" s="1"/>
  <c r="N70" i="9" s="1"/>
  <c r="Z70" i="9" s="1"/>
  <c r="J96" i="9"/>
  <c r="P96" i="9" s="1"/>
  <c r="I80" i="9"/>
  <c r="O80" i="9" s="1"/>
  <c r="X79" i="9" s="1"/>
  <c r="I96" i="9"/>
  <c r="O96" i="9" s="1"/>
  <c r="X95" i="9" s="1"/>
  <c r="Z94" i="9"/>
  <c r="Z85" i="9"/>
  <c r="I88" i="9"/>
  <c r="I72" i="9"/>
  <c r="O72" i="9" s="1"/>
  <c r="X71" i="9" s="1"/>
  <c r="J80" i="9"/>
  <c r="P80" i="9" s="1"/>
  <c r="X80" i="9" s="1"/>
  <c r="J88" i="9"/>
  <c r="P88" i="9" s="1"/>
  <c r="X87" i="9" s="1"/>
  <c r="Z77" i="9"/>
  <c r="H80" i="9"/>
  <c r="Q94" i="8"/>
  <c r="I67" i="8"/>
  <c r="I70" i="8" s="1"/>
  <c r="P71" i="8"/>
  <c r="H67" i="8"/>
  <c r="H70" i="8" s="1"/>
  <c r="Q70" i="8" s="1"/>
  <c r="P70" i="8"/>
  <c r="Q86" i="8"/>
  <c r="Q85" i="8" s="1"/>
  <c r="I88" i="8"/>
  <c r="O86" i="8" s="1"/>
  <c r="O85" i="8" s="1"/>
  <c r="H72" i="9" l="1"/>
  <c r="N72" i="9" s="1"/>
  <c r="X70" i="9" s="1"/>
  <c r="Y94" i="9"/>
  <c r="X96" i="9"/>
  <c r="O88" i="9"/>
  <c r="X86" i="9" s="1"/>
  <c r="X85" i="9" s="1"/>
  <c r="N80" i="9"/>
  <c r="X78" i="9" s="1"/>
  <c r="X77" i="9" s="1"/>
  <c r="X94" i="9"/>
  <c r="Z69" i="9"/>
  <c r="X69" i="9"/>
  <c r="P69" i="8"/>
  <c r="H72" i="8"/>
  <c r="O70" i="8" s="1"/>
  <c r="I72" i="8"/>
  <c r="O71" i="8" s="1"/>
  <c r="Q71" i="8"/>
  <c r="Q69" i="8" l="1"/>
  <c r="O69" i="8"/>
  <c r="P95" i="7" l="1"/>
  <c r="J95" i="7"/>
  <c r="J91" i="7" s="1"/>
  <c r="J94" i="7" s="1"/>
  <c r="I95" i="7"/>
  <c r="I94" i="7"/>
  <c r="Q95" i="7" s="1"/>
  <c r="S93" i="7"/>
  <c r="D93" i="7"/>
  <c r="H95" i="7" s="1"/>
  <c r="H91" i="7" s="1"/>
  <c r="H94" i="7" s="1"/>
  <c r="H96" i="7" s="1"/>
  <c r="I91" i="7"/>
  <c r="J87" i="7"/>
  <c r="P87" i="7" s="1"/>
  <c r="P85" i="7" s="1"/>
  <c r="I87" i="7"/>
  <c r="P86" i="7"/>
  <c r="I86" i="7"/>
  <c r="I88" i="7" s="1"/>
  <c r="O86" i="7" s="1"/>
  <c r="D85" i="7"/>
  <c r="H87" i="7" s="1"/>
  <c r="H83" i="7" s="1"/>
  <c r="H86" i="7" s="1"/>
  <c r="H88" i="7" s="1"/>
  <c r="S84" i="7"/>
  <c r="I83" i="7"/>
  <c r="J79" i="7"/>
  <c r="I79" i="7"/>
  <c r="P79" i="7" s="1"/>
  <c r="H79" i="7"/>
  <c r="H75" i="7" s="1"/>
  <c r="H78" i="7" s="1"/>
  <c r="P78" i="7"/>
  <c r="P77" i="7" s="1"/>
  <c r="S76" i="7"/>
  <c r="P80" i="7" s="1"/>
  <c r="J75" i="7"/>
  <c r="J78" i="7" s="1"/>
  <c r="I75" i="7"/>
  <c r="I78" i="7" s="1"/>
  <c r="I71" i="7"/>
  <c r="H71" i="7"/>
  <c r="H67" i="7" s="1"/>
  <c r="H70" i="7" s="1"/>
  <c r="D70" i="7"/>
  <c r="S70" i="7" s="1"/>
  <c r="M51" i="7"/>
  <c r="I51" i="7"/>
  <c r="H51" i="7"/>
  <c r="L50" i="7"/>
  <c r="I50" i="7"/>
  <c r="H50" i="7"/>
  <c r="O49" i="7"/>
  <c r="J49" i="7"/>
  <c r="I49" i="7"/>
  <c r="H49" i="7"/>
  <c r="O48" i="7"/>
  <c r="I48" i="7"/>
  <c r="H48" i="7"/>
  <c r="N47" i="7"/>
  <c r="K47" i="7"/>
  <c r="I47" i="7"/>
  <c r="H47" i="7"/>
  <c r="H46" i="7"/>
  <c r="L45" i="7"/>
  <c r="I45" i="7"/>
  <c r="H44" i="7"/>
  <c r="B34" i="7"/>
  <c r="B33" i="7"/>
  <c r="H45" i="7" s="1"/>
  <c r="I45" i="5"/>
  <c r="S93" i="5"/>
  <c r="S84" i="5"/>
  <c r="S76" i="5"/>
  <c r="H71" i="5"/>
  <c r="H67" i="5" s="1"/>
  <c r="H95" i="5"/>
  <c r="H91" i="5" s="1"/>
  <c r="J95" i="5"/>
  <c r="J91" i="5" s="1"/>
  <c r="I95" i="5"/>
  <c r="I91" i="5" s="1"/>
  <c r="I94" i="5" s="1"/>
  <c r="J87" i="5"/>
  <c r="J83" i="5" s="1"/>
  <c r="J86" i="5" s="1"/>
  <c r="I87" i="5"/>
  <c r="I83" i="5" s="1"/>
  <c r="I86" i="5" s="1"/>
  <c r="H87" i="5"/>
  <c r="H83" i="5" s="1"/>
  <c r="H86" i="5" s="1"/>
  <c r="H50" i="5"/>
  <c r="H46" i="5"/>
  <c r="B34" i="5" s="1"/>
  <c r="H48" i="5"/>
  <c r="H47" i="5"/>
  <c r="J79" i="5"/>
  <c r="J75" i="5" s="1"/>
  <c r="J78" i="5" s="1"/>
  <c r="J80" i="5" s="1"/>
  <c r="I79" i="5"/>
  <c r="I75" i="5" s="1"/>
  <c r="I78" i="5" s="1"/>
  <c r="I80" i="5" s="1"/>
  <c r="H79" i="5"/>
  <c r="H75" i="5" s="1"/>
  <c r="H78" i="5" s="1"/>
  <c r="H80" i="5" s="1"/>
  <c r="M51" i="5"/>
  <c r="I51" i="5"/>
  <c r="H51" i="5"/>
  <c r="L50" i="5"/>
  <c r="I50" i="5"/>
  <c r="O49" i="5"/>
  <c r="J49" i="5"/>
  <c r="I49" i="5"/>
  <c r="H49" i="5"/>
  <c r="O48" i="5"/>
  <c r="I48" i="5"/>
  <c r="N47" i="5"/>
  <c r="K47" i="5"/>
  <c r="I47" i="5"/>
  <c r="L45" i="5"/>
  <c r="H44" i="5"/>
  <c r="B33" i="5" s="1"/>
  <c r="Q80" i="7" l="1"/>
  <c r="J80" i="7"/>
  <c r="O80" i="7" s="1"/>
  <c r="H80" i="7"/>
  <c r="O78" i="7" s="1"/>
  <c r="O77" i="7" s="1"/>
  <c r="Q78" i="7"/>
  <c r="Q77" i="7" s="1"/>
  <c r="Q96" i="7"/>
  <c r="Q94" i="7" s="1"/>
  <c r="J96" i="7"/>
  <c r="O96" i="7" s="1"/>
  <c r="Q70" i="7"/>
  <c r="H72" i="7"/>
  <c r="O70" i="7" s="1"/>
  <c r="P71" i="7"/>
  <c r="I80" i="7"/>
  <c r="O79" i="7" s="1"/>
  <c r="Q79" i="7"/>
  <c r="I96" i="7"/>
  <c r="O95" i="7" s="1"/>
  <c r="J83" i="7"/>
  <c r="J86" i="7" s="1"/>
  <c r="I67" i="7"/>
  <c r="I70" i="7" s="1"/>
  <c r="P70" i="7"/>
  <c r="Q86" i="7"/>
  <c r="P96" i="7"/>
  <c r="P94" i="7" s="1"/>
  <c r="J71" i="7"/>
  <c r="J67" i="7" s="1"/>
  <c r="J70" i="7" s="1"/>
  <c r="J72" i="7" s="1"/>
  <c r="S70" i="5"/>
  <c r="P70" i="5" s="1"/>
  <c r="O80" i="5"/>
  <c r="H94" i="5"/>
  <c r="H96" i="5" s="1"/>
  <c r="J94" i="5"/>
  <c r="I96" i="5"/>
  <c r="J88" i="5"/>
  <c r="I88" i="5"/>
  <c r="H88" i="5"/>
  <c r="H70" i="5"/>
  <c r="I71" i="5"/>
  <c r="J71" i="5"/>
  <c r="J67" i="5" s="1"/>
  <c r="J70" i="5" s="1"/>
  <c r="J72" i="5" s="1"/>
  <c r="H45" i="5"/>
  <c r="P71" i="5" l="1"/>
  <c r="Q71" i="7"/>
  <c r="Q69" i="7" s="1"/>
  <c r="I72" i="7"/>
  <c r="O71" i="7" s="1"/>
  <c r="O69" i="7" s="1"/>
  <c r="O94" i="7"/>
  <c r="P69" i="7"/>
  <c r="J88" i="7"/>
  <c r="O87" i="7" s="1"/>
  <c r="O85" i="7" s="1"/>
  <c r="Q87" i="7"/>
  <c r="Q85" i="7"/>
  <c r="O95" i="5"/>
  <c r="O86" i="5"/>
  <c r="O87" i="5"/>
  <c r="P96" i="5"/>
  <c r="Q95" i="5"/>
  <c r="P95" i="5"/>
  <c r="Q86" i="5"/>
  <c r="P87" i="5"/>
  <c r="Q87" i="5"/>
  <c r="J96" i="5"/>
  <c r="O96" i="5" s="1"/>
  <c r="Q96" i="5"/>
  <c r="P86" i="5"/>
  <c r="P69" i="5"/>
  <c r="P80" i="5"/>
  <c r="O79" i="5"/>
  <c r="Q79" i="5"/>
  <c r="Q78" i="5"/>
  <c r="P78" i="5"/>
  <c r="Q80" i="5"/>
  <c r="P79" i="5"/>
  <c r="O78" i="5"/>
  <c r="H72" i="5"/>
  <c r="O70" i="5" s="1"/>
  <c r="Q70" i="5"/>
  <c r="I67" i="5"/>
  <c r="I70" i="5" s="1"/>
  <c r="Q85" i="5" l="1"/>
  <c r="O85" i="5"/>
  <c r="O94" i="5"/>
  <c r="I72" i="5"/>
  <c r="O71" i="5" s="1"/>
  <c r="O69" i="5" s="1"/>
  <c r="Q71" i="5"/>
  <c r="Q69" i="5" s="1"/>
  <c r="P85" i="5"/>
  <c r="P77" i="5"/>
  <c r="Q94" i="5"/>
  <c r="P94" i="5"/>
  <c r="O77" i="5"/>
  <c r="Q77" i="5"/>
</calcChain>
</file>

<file path=xl/sharedStrings.xml><?xml version="1.0" encoding="utf-8"?>
<sst xmlns="http://schemas.openxmlformats.org/spreadsheetml/2006/main" count="339" uniqueCount="62">
  <si>
    <t>Outdoor Temperature</t>
  </si>
  <si>
    <t>Indoor Temperature</t>
  </si>
  <si>
    <t>Boost</t>
  </si>
  <si>
    <t>ODT</t>
  </si>
  <si>
    <t>Capacity</t>
  </si>
  <si>
    <t>Let's normalize all at Indoor=70, Outdoor=47</t>
  </si>
  <si>
    <t xml:space="preserve">Cap = </t>
  </si>
  <si>
    <t>&lt;-----This has just been extrapolated to normalize</t>
  </si>
  <si>
    <t>High</t>
  </si>
  <si>
    <t>Medium</t>
  </si>
  <si>
    <t>Low</t>
  </si>
  <si>
    <t>Capacity Ratio</t>
  </si>
  <si>
    <t>After Capacity Ratio Normalization</t>
  </si>
  <si>
    <t>Test</t>
  </si>
  <si>
    <t>OAT</t>
  </si>
  <si>
    <t>COP</t>
  </si>
  <si>
    <t>PC</t>
  </si>
  <si>
    <t>PCD</t>
  </si>
  <si>
    <t>PIF</t>
  </si>
  <si>
    <t>PCT</t>
  </si>
  <si>
    <t>PCCH,NOC</t>
  </si>
  <si>
    <t>scfm</t>
  </si>
  <si>
    <t>ESP</t>
  </si>
  <si>
    <t>SA Temp</t>
  </si>
  <si>
    <t>Gross Capacity</t>
  </si>
  <si>
    <t>Gross Power</t>
  </si>
  <si>
    <t>Gross EEIR</t>
  </si>
  <si>
    <t>Gross COP</t>
  </si>
  <si>
    <t>H47H</t>
  </si>
  <si>
    <t>required</t>
  </si>
  <si>
    <t>H47M</t>
  </si>
  <si>
    <t>optional</t>
  </si>
  <si>
    <t>H47L</t>
  </si>
  <si>
    <t>H17H</t>
  </si>
  <si>
    <t>H17M</t>
  </si>
  <si>
    <t>H17L</t>
  </si>
  <si>
    <t>H17B</t>
  </si>
  <si>
    <t>H5H</t>
  </si>
  <si>
    <t>H5B</t>
  </si>
  <si>
    <t>Capacity to Normalize @70/47</t>
  </si>
  <si>
    <t>Data to interpolate and find 70/0</t>
  </si>
  <si>
    <t>Data to interpolate and find 40/5</t>
  </si>
  <si>
    <t>This is a fraction of our value at 70/5</t>
  </si>
  <si>
    <t>Data to interpolate and find 70/17</t>
  </si>
  <si>
    <t>Values to normalize values at 40 IAT</t>
  </si>
  <si>
    <t>This is a fraction of our value at 70/17</t>
  </si>
  <si>
    <t>This is a fraction of our value at 70/47</t>
  </si>
  <si>
    <t>Data to interpolate and find 70/47</t>
  </si>
  <si>
    <t>1) Values from IVHE VS-Prod Data Input-2 tab. I removed the fan power to recalculate Capacity and COP</t>
  </si>
  <si>
    <t>2) Now I take the experimental data from Parveen, I organize them in IAT and OAT table and then normalize them with respect to the capacity at 70/47 and create the second table. The capacity at 70 and 0 has been extrapolated.</t>
  </si>
  <si>
    <t>The tables on the left are just the same values in the two big tables on the right, they are used to find the line equations in the next step.</t>
  </si>
  <si>
    <t xml:space="preserve">3) Now, for each mode:.
• first I gather the absolute capacity values from step 1 (columns C and D),
• then I calculate the fractions with respect to 70/47 capacity and fill the IAT=70F row. These are the data we have.
• Then I go to row IAT=70F and use the tables above (rows 31-49 and columns A-B) to calculate the interpolation line and calculate the values at 5/17/47.
• Then, for each OAT, I calculate the interpolation line and extend the values to IAT=80.
• Finally, in the tables in columns M-Q, I report the values just calculated and multiply by the capacity fraction, and then I extend the interpolation to calculate the values at -15.
• The capacity fraction is the ratio of each capacity at the rated value with respect to the value for the high mode.
 </t>
  </si>
  <si>
    <t>PTotal</t>
  </si>
  <si>
    <t>PTotal (check)</t>
  </si>
  <si>
    <t>Airflow</t>
  </si>
  <si>
    <t>-</t>
  </si>
  <si>
    <t>F</t>
  </si>
  <si>
    <t>Btu/h</t>
  </si>
  <si>
    <t>W</t>
  </si>
  <si>
    <t>wc</t>
  </si>
  <si>
    <t>Challenge required</t>
  </si>
  <si>
    <t>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</si>
</sst>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6"/>
      <color theme="1"/>
      <name val="Aptos Narrow"/>
      <scheme val="minor"/>
    </font>
    <font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" fontId="0" fillId="0" borderId="12" xfId="0" applyNumberFormat="1" applyBorder="1"/>
    <xf numFmtId="1" fontId="0" fillId="0" borderId="13" xfId="0" applyNumberFormat="1" applyBorder="1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2" borderId="14" xfId="0" applyFill="1" applyBorder="1"/>
    <xf numFmtId="0" fontId="0" fillId="0" borderId="0" xfId="0" applyAlignment="1">
      <alignment vertical="center"/>
    </xf>
    <xf numFmtId="0" fontId="0" fillId="3" borderId="0" xfId="0" applyFill="1"/>
    <xf numFmtId="0" fontId="4" fillId="4" borderId="0" xfId="0" applyFont="1" applyFill="1"/>
    <xf numFmtId="0" fontId="0" fillId="0" borderId="19" xfId="0" applyBorder="1"/>
    <xf numFmtId="0" fontId="0" fillId="5" borderId="5" xfId="0" applyFill="1" applyBorder="1"/>
    <xf numFmtId="0" fontId="0" fillId="3" borderId="5" xfId="0" applyFill="1" applyBorder="1"/>
    <xf numFmtId="0" fontId="0" fillId="0" borderId="20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2" fillId="0" borderId="1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4" xfId="0" applyFont="1" applyBorder="1"/>
    <xf numFmtId="0" fontId="0" fillId="5" borderId="11" xfId="0" applyFill="1" applyBorder="1"/>
    <xf numFmtId="0" fontId="0" fillId="3" borderId="11" xfId="0" applyFill="1" applyBorder="1"/>
    <xf numFmtId="1" fontId="0" fillId="0" borderId="11" xfId="0" applyNumberFormat="1" applyBorder="1"/>
    <xf numFmtId="0" fontId="0" fillId="0" borderId="27" xfId="0" applyBorder="1"/>
    <xf numFmtId="1" fontId="0" fillId="0" borderId="0" xfId="0" applyNumberFormat="1"/>
    <xf numFmtId="2" fontId="0" fillId="0" borderId="2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2" fontId="3" fillId="0" borderId="14" xfId="0" applyNumberFormat="1" applyFont="1" applyBorder="1"/>
    <xf numFmtId="0" fontId="0" fillId="5" borderId="23" xfId="0" applyFill="1" applyBorder="1"/>
    <xf numFmtId="0" fontId="0" fillId="5" borderId="0" xfId="0" applyFill="1"/>
    <xf numFmtId="0" fontId="0" fillId="0" borderId="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 2" xfId="1" xr:uid="{01BBECF3-AC53-4246-B5A3-166C894516A0}"/>
  </cellStyles>
  <dxfs count="0"/>
  <tableStyles count="0" defaultTableStyle="TableStyleMedium2" defaultPivotStyle="PivotStyleLight16"/>
  <colors>
    <mruColors>
      <color rgb="FFFFE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Capacity Levels at Different Indoor Temperatures</a:t>
            </a:r>
          </a:p>
        </c:rich>
      </c:tx>
      <c:overlay val="0"/>
      <c:spPr>
        <a:solidFill>
          <a:schemeClr val="bg1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Boost@80</c:v>
          </c:tx>
          <c:spPr>
            <a:ln w="19050" cap="rnd">
              <a:solidFill>
                <a:srgbClr val="FFE1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FFE1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AA6-8547-A56B-E3F1691023E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AA6-8547-A56B-E3F1691023E2}"/>
              </c:ext>
            </c:extLst>
          </c:dPt>
          <c:xVal>
            <c:numRef>
              <c:f>'Capacity - OLD'!$N$69:$N$71</c:f>
              <c:numCache>
                <c:formatCode>General</c:formatCode>
                <c:ptCount val="3"/>
                <c:pt idx="0">
                  <c:v>-15</c:v>
                </c:pt>
                <c:pt idx="1">
                  <c:v>5</c:v>
                </c:pt>
                <c:pt idx="2">
                  <c:v>17</c:v>
                </c:pt>
              </c:numCache>
            </c:numRef>
          </c:xVal>
          <c:yVal>
            <c:numRef>
              <c:f>'Capacity - OLD'!$O$69:$O$71</c:f>
              <c:numCache>
                <c:formatCode>General</c:formatCode>
                <c:ptCount val="3"/>
                <c:pt idx="0">
                  <c:v>0.16867262684140943</c:v>
                </c:pt>
                <c:pt idx="1">
                  <c:v>0.54958096397057343</c:v>
                </c:pt>
                <c:pt idx="2">
                  <c:v>0.77812596624807184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A6-8547-A56B-E3F1691023E2}"/>
            </c:ext>
          </c:extLst>
        </c:ser>
        <c:ser>
          <c:idx val="1"/>
          <c:order val="1"/>
          <c:tx>
            <c:v>Boost@70</c:v>
          </c:tx>
          <c:spPr>
            <a:ln w="19050" cap="rnd">
              <a:solidFill>
                <a:srgbClr val="FFE1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E1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AA6-8547-A56B-E3F1691023E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AA6-8547-A56B-E3F1691023E2}"/>
              </c:ext>
            </c:extLst>
          </c:dPt>
          <c:xVal>
            <c:numRef>
              <c:f>'Capacity - OLD'!$N$69:$N$71</c:f>
              <c:numCache>
                <c:formatCode>General</c:formatCode>
                <c:ptCount val="3"/>
                <c:pt idx="0">
                  <c:v>-15</c:v>
                </c:pt>
                <c:pt idx="1">
                  <c:v>5</c:v>
                </c:pt>
                <c:pt idx="2">
                  <c:v>17</c:v>
                </c:pt>
              </c:numCache>
            </c:numRef>
          </c:xVal>
          <c:yVal>
            <c:numRef>
              <c:f>'Capacity - OLD'!$P$69:$P$71</c:f>
              <c:numCache>
                <c:formatCode>General</c:formatCode>
                <c:ptCount val="3"/>
                <c:pt idx="0">
                  <c:v>0.26491508585435325</c:v>
                </c:pt>
                <c:pt idx="1">
                  <c:v>0.63017467052299758</c:v>
                </c:pt>
                <c:pt idx="2">
                  <c:v>0.84933042132418424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A6-8547-A56B-E3F1691023E2}"/>
            </c:ext>
          </c:extLst>
        </c:ser>
        <c:ser>
          <c:idx val="2"/>
          <c:order val="2"/>
          <c:tx>
            <c:v>Boost@40</c:v>
          </c:tx>
          <c:spPr>
            <a:ln w="19050" cap="rnd">
              <a:solidFill>
                <a:srgbClr val="FFE100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rgbClr val="FFE100"/>
              </a:solidFill>
              <a:ln w="9525">
                <a:solidFill>
                  <a:srgbClr val="FFE100"/>
                </a:solidFill>
              </a:ln>
              <a:effectLst/>
            </c:spPr>
          </c:marker>
          <c:xVal>
            <c:numRef>
              <c:f>'Capacity - OLD'!$N$69:$N$71</c:f>
              <c:numCache>
                <c:formatCode>General</c:formatCode>
                <c:ptCount val="3"/>
                <c:pt idx="0">
                  <c:v>-15</c:v>
                </c:pt>
                <c:pt idx="1">
                  <c:v>5</c:v>
                </c:pt>
                <c:pt idx="2">
                  <c:v>17</c:v>
                </c:pt>
              </c:numCache>
            </c:numRef>
          </c:xVal>
          <c:yVal>
            <c:numRef>
              <c:f>'Capacity - OLD'!$Q$69:$Q$71</c:f>
              <c:numCache>
                <c:formatCode>General</c:formatCode>
                <c:ptCount val="3"/>
                <c:pt idx="0">
                  <c:v>0.55364246289318297</c:v>
                </c:pt>
                <c:pt idx="1">
                  <c:v>0.87195579018026959</c:v>
                </c:pt>
                <c:pt idx="2">
                  <c:v>1.0629437865525215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AA6-8547-A56B-E3F1691023E2}"/>
            </c:ext>
          </c:extLst>
        </c:ser>
        <c:ser>
          <c:idx val="3"/>
          <c:order val="3"/>
          <c:tx>
            <c:v>High@80F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'Capacity - OLD'!$N$77:$N$80</c:f>
              <c:numCache>
                <c:formatCode>General</c:formatCode>
                <c:ptCount val="4"/>
                <c:pt idx="0">
                  <c:v>-15</c:v>
                </c:pt>
                <c:pt idx="1">
                  <c:v>5</c:v>
                </c:pt>
                <c:pt idx="2">
                  <c:v>17</c:v>
                </c:pt>
                <c:pt idx="3">
                  <c:v>47</c:v>
                </c:pt>
              </c:numCache>
            </c:numRef>
          </c:xVal>
          <c:yVal>
            <c:numRef>
              <c:f>'Capacity - OLD'!$O$77:$O$80</c:f>
              <c:numCache>
                <c:formatCode>General</c:formatCode>
                <c:ptCount val="4"/>
                <c:pt idx="0">
                  <c:v>0.12105493424034133</c:v>
                </c:pt>
                <c:pt idx="1">
                  <c:v>0.40623519681400289</c:v>
                </c:pt>
                <c:pt idx="2">
                  <c:v>0.57734335435819983</c:v>
                </c:pt>
                <c:pt idx="3">
                  <c:v>0.95012360808308094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AA6-8547-A56B-E3F1691023E2}"/>
            </c:ext>
          </c:extLst>
        </c:ser>
        <c:ser>
          <c:idx val="4"/>
          <c:order val="4"/>
          <c:tx>
            <c:v>High@70F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'Capacity - OLD'!$N$77:$N$80</c:f>
              <c:numCache>
                <c:formatCode>General</c:formatCode>
                <c:ptCount val="4"/>
                <c:pt idx="0">
                  <c:v>-15</c:v>
                </c:pt>
                <c:pt idx="1">
                  <c:v>5</c:v>
                </c:pt>
                <c:pt idx="2">
                  <c:v>17</c:v>
                </c:pt>
                <c:pt idx="3">
                  <c:v>47</c:v>
                </c:pt>
              </c:numCache>
            </c:numRef>
          </c:xVal>
          <c:yVal>
            <c:numRef>
              <c:f>'Capacity - OLD'!$P$77:$P$80</c:f>
              <c:numCache>
                <c:formatCode>General</c:formatCode>
                <c:ptCount val="4"/>
                <c:pt idx="0">
                  <c:v>0.19186316892062422</c:v>
                </c:pt>
                <c:pt idx="1">
                  <c:v>0.46580785742210756</c:v>
                </c:pt>
                <c:pt idx="2">
                  <c:v>0.63017467052299758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AA6-8547-A56B-E3F1691023E2}"/>
            </c:ext>
          </c:extLst>
        </c:ser>
        <c:ser>
          <c:idx val="5"/>
          <c:order val="5"/>
          <c:tx>
            <c:v>High@40F</c:v>
          </c:tx>
          <c:spPr>
            <a:ln w="19050" cap="rnd">
              <a:solidFill>
                <a:schemeClr val="accent1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'Capacity - OLD'!$N$77:$N$80</c:f>
              <c:numCache>
                <c:formatCode>General</c:formatCode>
                <c:ptCount val="4"/>
                <c:pt idx="0">
                  <c:v>-15</c:v>
                </c:pt>
                <c:pt idx="1">
                  <c:v>5</c:v>
                </c:pt>
                <c:pt idx="2">
                  <c:v>17</c:v>
                </c:pt>
                <c:pt idx="3">
                  <c:v>47</c:v>
                </c:pt>
              </c:numCache>
            </c:numRef>
          </c:xVal>
          <c:yVal>
            <c:numRef>
              <c:f>'Capacity - OLD'!$Q$77:$Q$80</c:f>
              <c:numCache>
                <c:formatCode>General</c:formatCode>
                <c:ptCount val="4"/>
                <c:pt idx="0">
                  <c:v>0.40428787296147345</c:v>
                </c:pt>
                <c:pt idx="1">
                  <c:v>0.64452583924642159</c:v>
                </c:pt>
                <c:pt idx="2">
                  <c:v>0.78866861901739049</c:v>
                </c:pt>
                <c:pt idx="3">
                  <c:v>1.1496291757507571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AA6-8547-A56B-E3F1691023E2}"/>
            </c:ext>
          </c:extLst>
        </c:ser>
        <c:ser>
          <c:idx val="6"/>
          <c:order val="6"/>
          <c:tx>
            <c:v>Medium@80F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'Capacity - OLD'!$N$85:$N$87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'Capacity - OLD'!$O$85:$O$87</c:f>
              <c:numCache>
                <c:formatCode>General</c:formatCode>
                <c:ptCount val="3"/>
                <c:pt idx="0">
                  <c:v>0.12713668941982875</c:v>
                </c:pt>
                <c:pt idx="1">
                  <c:v>0.38212033943059814</c:v>
                </c:pt>
                <c:pt idx="2">
                  <c:v>0.62116751131569448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AA6-8547-A56B-E3F1691023E2}"/>
            </c:ext>
          </c:extLst>
        </c:ser>
        <c:ser>
          <c:idx val="7"/>
          <c:order val="7"/>
          <c:tx>
            <c:v>Medium@70F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'Capacity - OLD'!$N$85:$N$87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'Capacity - OLD'!$P$85:$P$87</c:f>
              <c:numCache>
                <c:formatCode>General</c:formatCode>
                <c:ptCount val="3"/>
                <c:pt idx="0">
                  <c:v>0.1646198372461794</c:v>
                </c:pt>
                <c:pt idx="1">
                  <c:v>0.41708726216914688</c:v>
                </c:pt>
                <c:pt idx="2">
                  <c:v>0.65377547303442884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AA6-8547-A56B-E3F1691023E2}"/>
            </c:ext>
          </c:extLst>
        </c:ser>
        <c:ser>
          <c:idx val="8"/>
          <c:order val="8"/>
          <c:tx>
            <c:v>Medium@40F</c:v>
          </c:tx>
          <c:spPr>
            <a:ln w="19050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'Capacity - OLD'!$N$85:$N$87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'Capacity - OLD'!$Q$85:$Q$87</c:f>
              <c:numCache>
                <c:formatCode>General</c:formatCode>
                <c:ptCount val="3"/>
                <c:pt idx="0">
                  <c:v>0.27706928072523157</c:v>
                </c:pt>
                <c:pt idx="1">
                  <c:v>0.52198803038479291</c:v>
                </c:pt>
                <c:pt idx="2">
                  <c:v>0.75159935819063173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AA6-8547-A56B-E3F1691023E2}"/>
            </c:ext>
          </c:extLst>
        </c:ser>
        <c:ser>
          <c:idx val="9"/>
          <c:order val="9"/>
          <c:tx>
            <c:v>Low@80F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'Capacity - OLD'!$N$94:$N$96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'Capacity - OLD'!$O$94:$O$96</c:f>
              <c:numCache>
                <c:formatCode>General</c:formatCode>
                <c:ptCount val="3"/>
                <c:pt idx="0">
                  <c:v>7.5310449609705885E-2</c:v>
                </c:pt>
                <c:pt idx="1">
                  <c:v>0.22409814511627293</c:v>
                </c:pt>
                <c:pt idx="2">
                  <c:v>0.36358660965367956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AA6-8547-A56B-E3F1691023E2}"/>
            </c:ext>
          </c:extLst>
        </c:ser>
        <c:ser>
          <c:idx val="10"/>
          <c:order val="10"/>
          <c:tx>
            <c:v>Low@70F</c:v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'Capacity - OLD'!$N$94:$N$96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'Capacity - OLD'!$P$94:$P$96</c:f>
              <c:numCache>
                <c:formatCode>General</c:formatCode>
                <c:ptCount val="3"/>
                <c:pt idx="0">
                  <c:v>9.7332168439111452E-2</c:v>
                </c:pt>
                <c:pt idx="1">
                  <c:v>0.24460483297750887</c:v>
                </c:pt>
                <c:pt idx="2">
                  <c:v>0.38267295598225648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AA6-8547-A56B-E3F1691023E2}"/>
            </c:ext>
          </c:extLst>
        </c:ser>
        <c:ser>
          <c:idx val="11"/>
          <c:order val="11"/>
          <c:tx>
            <c:v>Low@40F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'Capacity - OLD'!$N$94:$N$96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'Capacity - OLD'!$Q$94:$Q$96</c:f>
              <c:numCache>
                <c:formatCode>General</c:formatCode>
                <c:ptCount val="3"/>
                <c:pt idx="0">
                  <c:v>0.16339732492732786</c:v>
                </c:pt>
                <c:pt idx="1">
                  <c:v>0.30612489656121655</c:v>
                </c:pt>
                <c:pt idx="2">
                  <c:v>0.43993199496798724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AA6-8547-A56B-E3F169102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101359"/>
        <c:axId val="622734319"/>
      </c:scatterChart>
      <c:valAx>
        <c:axId val="62210135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Outdoor</a:t>
                </a:r>
                <a:r>
                  <a:rPr lang="en-US" sz="1100" b="1" baseline="0">
                    <a:solidFill>
                      <a:schemeClr val="tx1"/>
                    </a:solidFill>
                  </a:rPr>
                  <a:t> Temperature [°F]</a:t>
                </a:r>
                <a:endParaRPr lang="en-US" sz="11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734319"/>
        <c:crossesAt val="-15"/>
        <c:crossBetween val="midCat"/>
      </c:valAx>
      <c:valAx>
        <c:axId val="622734319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Capacity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01359"/>
        <c:crosses val="autoZero"/>
        <c:crossBetween val="midCat"/>
      </c:valAx>
      <c:spPr>
        <a:noFill/>
        <a:ln w="25400" cap="flat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Capacity Levels at Different Indoor Temperatures</a:t>
            </a:r>
          </a:p>
        </c:rich>
      </c:tx>
      <c:overlay val="0"/>
      <c:spPr>
        <a:solidFill>
          <a:schemeClr val="bg1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Boost@80</c:v>
          </c:tx>
          <c:spPr>
            <a:ln w="19050" cap="rnd">
              <a:solidFill>
                <a:srgbClr val="FFE1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FFE1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9B6-E949-BCD8-E3BF98917285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9B6-E949-BCD8-E3BF98917285}"/>
              </c:ext>
            </c:extLst>
          </c:dPt>
          <c:xVal>
            <c:numRef>
              <c:f>Capacity!$N$69:$N$71</c:f>
              <c:numCache>
                <c:formatCode>General</c:formatCode>
                <c:ptCount val="3"/>
                <c:pt idx="0">
                  <c:v>-15</c:v>
                </c:pt>
                <c:pt idx="1">
                  <c:v>5</c:v>
                </c:pt>
                <c:pt idx="2">
                  <c:v>17</c:v>
                </c:pt>
              </c:numCache>
            </c:numRef>
          </c:xVal>
          <c:yVal>
            <c:numRef>
              <c:f>Capacity!$O$69:$O$71</c:f>
              <c:numCache>
                <c:formatCode>General</c:formatCode>
                <c:ptCount val="3"/>
                <c:pt idx="0">
                  <c:v>0.35167240833584534</c:v>
                </c:pt>
                <c:pt idx="1">
                  <c:v>0.58021800006799729</c:v>
                </c:pt>
                <c:pt idx="2">
                  <c:v>0.71734535510728847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B6-E949-BCD8-E3BF98917285}"/>
            </c:ext>
          </c:extLst>
        </c:ser>
        <c:ser>
          <c:idx val="1"/>
          <c:order val="1"/>
          <c:tx>
            <c:v>Boost@70</c:v>
          </c:tx>
          <c:spPr>
            <a:ln w="19050" cap="rnd">
              <a:solidFill>
                <a:srgbClr val="FFE1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E1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9B6-E949-BCD8-E3BF98917285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9B6-E949-BCD8-E3BF98917285}"/>
              </c:ext>
            </c:extLst>
          </c:dPt>
          <c:xVal>
            <c:numRef>
              <c:f>Capacity!$N$69:$N$71</c:f>
              <c:numCache>
                <c:formatCode>General</c:formatCode>
                <c:ptCount val="3"/>
                <c:pt idx="0">
                  <c:v>-15</c:v>
                </c:pt>
                <c:pt idx="1">
                  <c:v>5</c:v>
                </c:pt>
                <c:pt idx="2">
                  <c:v>17</c:v>
                </c:pt>
              </c:numCache>
            </c:numRef>
          </c:xVal>
          <c:yVal>
            <c:numRef>
              <c:f>Capacity!$P$69:$P$71</c:f>
              <c:numCache>
                <c:formatCode>General</c:formatCode>
                <c:ptCount val="3"/>
                <c:pt idx="0">
                  <c:v>0.46916545789868086</c:v>
                </c:pt>
                <c:pt idx="1">
                  <c:v>0.66530449741694586</c:v>
                </c:pt>
                <c:pt idx="2">
                  <c:v>0.78298792112790483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B6-E949-BCD8-E3BF98917285}"/>
            </c:ext>
          </c:extLst>
        </c:ser>
        <c:ser>
          <c:idx val="2"/>
          <c:order val="2"/>
          <c:tx>
            <c:v>Boost@40</c:v>
          </c:tx>
          <c:spPr>
            <a:ln w="19050" cap="rnd">
              <a:solidFill>
                <a:srgbClr val="FFE100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rgbClr val="FFE100"/>
              </a:solidFill>
              <a:ln w="9525">
                <a:solidFill>
                  <a:srgbClr val="FFE100"/>
                </a:solidFill>
              </a:ln>
              <a:effectLst/>
            </c:spPr>
          </c:marker>
          <c:xVal>
            <c:numRef>
              <c:f>Capacity!$N$69:$N$71</c:f>
              <c:numCache>
                <c:formatCode>General</c:formatCode>
                <c:ptCount val="3"/>
                <c:pt idx="0">
                  <c:v>-15</c:v>
                </c:pt>
                <c:pt idx="1">
                  <c:v>5</c:v>
                </c:pt>
                <c:pt idx="2">
                  <c:v>17</c:v>
                </c:pt>
              </c:numCache>
            </c:numRef>
          </c:xVal>
          <c:yVal>
            <c:numRef>
              <c:f>Capacity!$Q$69:$Q$71</c:f>
              <c:numCache>
                <c:formatCode>General</c:formatCode>
                <c:ptCount val="3"/>
                <c:pt idx="0">
                  <c:v>0.82164460658718907</c:v>
                </c:pt>
                <c:pt idx="1">
                  <c:v>0.92056398946379181</c:v>
                </c:pt>
                <c:pt idx="2">
                  <c:v>0.97991561918975345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B6-E949-BCD8-E3BF98917285}"/>
            </c:ext>
          </c:extLst>
        </c:ser>
        <c:ser>
          <c:idx val="3"/>
          <c:order val="3"/>
          <c:tx>
            <c:v>High@80F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Capacity!$N$77:$N$80</c:f>
              <c:numCache>
                <c:formatCode>General</c:formatCode>
                <c:ptCount val="4"/>
                <c:pt idx="0">
                  <c:v>-15</c:v>
                </c:pt>
                <c:pt idx="1">
                  <c:v>5</c:v>
                </c:pt>
                <c:pt idx="2">
                  <c:v>17</c:v>
                </c:pt>
                <c:pt idx="3">
                  <c:v>47</c:v>
                </c:pt>
              </c:numCache>
            </c:numRef>
          </c:xVal>
          <c:yVal>
            <c:numRef>
              <c:f>Capacity!$O$77:$O$80</c:f>
              <c:numCache>
                <c:formatCode>General</c:formatCode>
                <c:ptCount val="4"/>
                <c:pt idx="0">
                  <c:v>0.29001682845019394</c:v>
                </c:pt>
                <c:pt idx="1">
                  <c:v>0.51289425936437194</c:v>
                </c:pt>
                <c:pt idx="2">
                  <c:v>0.64662071791287878</c:v>
                </c:pt>
                <c:pt idx="3">
                  <c:v>0.95012360808011564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B6-E949-BCD8-E3BF98917285}"/>
            </c:ext>
          </c:extLst>
        </c:ser>
        <c:ser>
          <c:idx val="4"/>
          <c:order val="4"/>
          <c:tx>
            <c:v>High@70F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Capacity!$N$77:$N$80</c:f>
              <c:numCache>
                <c:formatCode>General</c:formatCode>
                <c:ptCount val="4"/>
                <c:pt idx="0">
                  <c:v>-15</c:v>
                </c:pt>
                <c:pt idx="1">
                  <c:v>5</c:v>
                </c:pt>
                <c:pt idx="2">
                  <c:v>17</c:v>
                </c:pt>
                <c:pt idx="3">
                  <c:v>47</c:v>
                </c:pt>
              </c:numCache>
            </c:numRef>
          </c:xVal>
          <c:yVal>
            <c:numRef>
              <c:f>Capacity!$P$77:$P$80</c:f>
              <c:numCache>
                <c:formatCode>General</c:formatCode>
                <c:ptCount val="4"/>
                <c:pt idx="0">
                  <c:v>0.39196897749337617</c:v>
                </c:pt>
                <c:pt idx="1">
                  <c:v>0.58810801701164106</c:v>
                </c:pt>
                <c:pt idx="2">
                  <c:v>0.70579144072260003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9B6-E949-BCD8-E3BF98917285}"/>
            </c:ext>
          </c:extLst>
        </c:ser>
        <c:ser>
          <c:idx val="5"/>
          <c:order val="5"/>
          <c:tx>
            <c:v>High@40F</c:v>
          </c:tx>
          <c:spPr>
            <a:ln w="19050" cap="rnd">
              <a:solidFill>
                <a:schemeClr val="accent1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Capacity!$N$77:$N$80</c:f>
              <c:numCache>
                <c:formatCode>General</c:formatCode>
                <c:ptCount val="4"/>
                <c:pt idx="0">
                  <c:v>-15</c:v>
                </c:pt>
                <c:pt idx="1">
                  <c:v>5</c:v>
                </c:pt>
                <c:pt idx="2">
                  <c:v>17</c:v>
                </c:pt>
                <c:pt idx="3">
                  <c:v>47</c:v>
                </c:pt>
              </c:numCache>
            </c:numRef>
          </c:xVal>
          <c:yVal>
            <c:numRef>
              <c:f>Capacity!$Q$77:$Q$80</c:f>
              <c:numCache>
                <c:formatCode>General</c:formatCode>
                <c:ptCount val="4"/>
                <c:pt idx="0">
                  <c:v>0.69782542462292385</c:v>
                </c:pt>
                <c:pt idx="1">
                  <c:v>0.81374928995344875</c:v>
                </c:pt>
                <c:pt idx="2">
                  <c:v>0.88330360915176365</c:v>
                </c:pt>
                <c:pt idx="3">
                  <c:v>1.1496291757596537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9B6-E949-BCD8-E3BF98917285}"/>
            </c:ext>
          </c:extLst>
        </c:ser>
        <c:ser>
          <c:idx val="6"/>
          <c:order val="6"/>
          <c:tx>
            <c:v>Medium@80F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Capacity!$N$85:$N$87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Capacity!$O$85:$O$87</c:f>
              <c:numCache>
                <c:formatCode>General</c:formatCode>
                <c:ptCount val="3"/>
                <c:pt idx="0">
                  <c:v>9.4659611888635281E-2</c:v>
                </c:pt>
                <c:pt idx="1">
                  <c:v>0.40900094579473895</c:v>
                </c:pt>
                <c:pt idx="2">
                  <c:v>0.70369594633171118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9B6-E949-BCD8-E3BF98917285}"/>
            </c:ext>
          </c:extLst>
        </c:ser>
        <c:ser>
          <c:idx val="7"/>
          <c:order val="7"/>
          <c:tx>
            <c:v>Medium@70F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Capacity!$N$85:$N$87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Capacity!$P$85:$P$87</c:f>
              <c:numCache>
                <c:formatCode>General</c:formatCode>
                <c:ptCount val="3"/>
                <c:pt idx="0">
                  <c:v>0.13260518561123316</c:v>
                </c:pt>
                <c:pt idx="1">
                  <c:v>0.44642764884045699</c:v>
                </c:pt>
                <c:pt idx="2">
                  <c:v>0.74063620811785436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9B6-E949-BCD8-E3BF98917285}"/>
            </c:ext>
          </c:extLst>
        </c:ser>
        <c:ser>
          <c:idx val="8"/>
          <c:order val="8"/>
          <c:tx>
            <c:v>Medium@40F</c:v>
          </c:tx>
          <c:spPr>
            <a:ln w="19050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Capacity!$N$85:$N$87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Capacity!$Q$85:$Q$87</c:f>
              <c:numCache>
                <c:formatCode>General</c:formatCode>
                <c:ptCount val="3"/>
                <c:pt idx="0">
                  <c:v>0.24644190677902639</c:v>
                </c:pt>
                <c:pt idx="1">
                  <c:v>0.55870775797761107</c:v>
                </c:pt>
                <c:pt idx="2">
                  <c:v>0.85145699347628423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9B6-E949-BCD8-E3BF98917285}"/>
            </c:ext>
          </c:extLst>
        </c:ser>
        <c:ser>
          <c:idx val="9"/>
          <c:order val="9"/>
          <c:tx>
            <c:v>Low@80F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Capacity!$N$94:$N$96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Capacity!$O$94:$O$96</c:f>
              <c:numCache>
                <c:formatCode>General</c:formatCode>
                <c:ptCount val="3"/>
                <c:pt idx="0">
                  <c:v>-9.2157130714012214E-2</c:v>
                </c:pt>
                <c:pt idx="1">
                  <c:v>0.2144937176982718</c:v>
                </c:pt>
                <c:pt idx="2">
                  <c:v>0.50197888808478797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9B6-E949-BCD8-E3BF98917285}"/>
            </c:ext>
          </c:extLst>
        </c:ser>
        <c:ser>
          <c:idx val="10"/>
          <c:order val="10"/>
          <c:tx>
            <c:v>Low@70F</c:v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Capacity!$N$94:$N$96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Capacity!$P$94:$P$96</c:f>
              <c:numCache>
                <c:formatCode>General</c:formatCode>
                <c:ptCount val="3"/>
                <c:pt idx="0">
                  <c:v>-7.9700935962281672E-2</c:v>
                </c:pt>
                <c:pt idx="1">
                  <c:v>0.23412152726694241</c:v>
                </c:pt>
                <c:pt idx="2">
                  <c:v>0.52833008654433988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9B6-E949-BCD8-E3BF98917285}"/>
            </c:ext>
          </c:extLst>
        </c:ser>
        <c:ser>
          <c:idx val="11"/>
          <c:order val="11"/>
          <c:tx>
            <c:v>Low@40F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Capacity!$N$94:$N$96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Capacity!$Q$94:$Q$96</c:f>
              <c:numCache>
                <c:formatCode>General</c:formatCode>
                <c:ptCount val="3"/>
                <c:pt idx="0">
                  <c:v>-4.2332351707090571E-2</c:v>
                </c:pt>
                <c:pt idx="1">
                  <c:v>0.29300495597295412</c:v>
                </c:pt>
                <c:pt idx="2">
                  <c:v>0.60738368192299597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9B6-E949-BCD8-E3BF98917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101359"/>
        <c:axId val="622734319"/>
      </c:scatterChart>
      <c:valAx>
        <c:axId val="62210135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Outdoor</a:t>
                </a:r>
                <a:r>
                  <a:rPr lang="en-US" sz="1100" b="1" baseline="0">
                    <a:solidFill>
                      <a:schemeClr val="tx1"/>
                    </a:solidFill>
                  </a:rPr>
                  <a:t> Temperature [°F]</a:t>
                </a:r>
                <a:endParaRPr lang="en-US" sz="11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734319"/>
        <c:crossesAt val="-15"/>
        <c:crossBetween val="midCat"/>
      </c:valAx>
      <c:valAx>
        <c:axId val="622734319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Capacity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01359"/>
        <c:crosses val="autoZero"/>
        <c:crossBetween val="midCat"/>
      </c:valAx>
      <c:spPr>
        <a:noFill/>
        <a:ln w="25400" cap="flat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COP Levels at Different Indoor Temperatures</a:t>
            </a:r>
          </a:p>
        </c:rich>
      </c:tx>
      <c:overlay val="0"/>
      <c:spPr>
        <a:solidFill>
          <a:schemeClr val="bg1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Boost@80</c:v>
          </c:tx>
          <c:spPr>
            <a:ln w="19050" cap="rnd">
              <a:solidFill>
                <a:srgbClr val="FFE1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FFE1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314-9244-A150-DC605224D815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314-9244-A150-DC605224D815}"/>
              </c:ext>
            </c:extLst>
          </c:dPt>
          <c:xVal>
            <c:numRef>
              <c:f>COP!$N$69:$N$71</c:f>
              <c:numCache>
                <c:formatCode>General</c:formatCode>
                <c:ptCount val="3"/>
                <c:pt idx="0">
                  <c:v>-15</c:v>
                </c:pt>
                <c:pt idx="1">
                  <c:v>5</c:v>
                </c:pt>
                <c:pt idx="2">
                  <c:v>17</c:v>
                </c:pt>
              </c:numCache>
            </c:numRef>
          </c:xVal>
          <c:yVal>
            <c:numRef>
              <c:f>COP!$O$69:$O$71</c:f>
              <c:numCache>
                <c:formatCode>General</c:formatCode>
                <c:ptCount val="3"/>
                <c:pt idx="0">
                  <c:v>0.38420798243844123</c:v>
                </c:pt>
                <c:pt idx="1">
                  <c:v>0.50228777699577354</c:v>
                </c:pt>
                <c:pt idx="2">
                  <c:v>0.57313565373017294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14-9244-A150-DC605224D815}"/>
            </c:ext>
          </c:extLst>
        </c:ser>
        <c:ser>
          <c:idx val="1"/>
          <c:order val="1"/>
          <c:tx>
            <c:v>Boost@70</c:v>
          </c:tx>
          <c:spPr>
            <a:ln w="19050" cap="rnd">
              <a:solidFill>
                <a:srgbClr val="FFE1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E1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314-9244-A150-DC605224D815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314-9244-A150-DC605224D815}"/>
              </c:ext>
            </c:extLst>
          </c:dPt>
          <c:xVal>
            <c:numRef>
              <c:f>COP!$N$69:$N$71</c:f>
              <c:numCache>
                <c:formatCode>General</c:formatCode>
                <c:ptCount val="3"/>
                <c:pt idx="0">
                  <c:v>-15</c:v>
                </c:pt>
                <c:pt idx="1">
                  <c:v>5</c:v>
                </c:pt>
                <c:pt idx="2">
                  <c:v>17</c:v>
                </c:pt>
              </c:numCache>
            </c:numRef>
          </c:xVal>
          <c:yVal>
            <c:numRef>
              <c:f>COP!$P$69:$P$71</c:f>
              <c:numCache>
                <c:formatCode>General</c:formatCode>
                <c:ptCount val="3"/>
                <c:pt idx="0">
                  <c:v>0.59311067010455787</c:v>
                </c:pt>
                <c:pt idx="1">
                  <c:v>0.69498018283893348</c:v>
                </c:pt>
                <c:pt idx="2">
                  <c:v>0.75610189047955889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14-9244-A150-DC605224D815}"/>
            </c:ext>
          </c:extLst>
        </c:ser>
        <c:ser>
          <c:idx val="2"/>
          <c:order val="2"/>
          <c:tx>
            <c:v>Boost@40</c:v>
          </c:tx>
          <c:spPr>
            <a:ln w="19050" cap="rnd">
              <a:solidFill>
                <a:srgbClr val="FFE100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rgbClr val="FFE100"/>
              </a:solidFill>
              <a:ln w="9525">
                <a:solidFill>
                  <a:srgbClr val="FFE100"/>
                </a:solidFill>
              </a:ln>
              <a:effectLst/>
            </c:spPr>
          </c:marker>
          <c:xVal>
            <c:numRef>
              <c:f>COP!$N$69:$N$71</c:f>
              <c:numCache>
                <c:formatCode>General</c:formatCode>
                <c:ptCount val="3"/>
                <c:pt idx="0">
                  <c:v>-15</c:v>
                </c:pt>
                <c:pt idx="1">
                  <c:v>5</c:v>
                </c:pt>
                <c:pt idx="2">
                  <c:v>17</c:v>
                </c:pt>
              </c:numCache>
            </c:numRef>
          </c:xVal>
          <c:yVal>
            <c:numRef>
              <c:f>COP!$Q$69:$Q$71</c:f>
              <c:numCache>
                <c:formatCode>General</c:formatCode>
                <c:ptCount val="3"/>
                <c:pt idx="0">
                  <c:v>1.219818733102906</c:v>
                </c:pt>
                <c:pt idx="1">
                  <c:v>1.2730574003684128</c:v>
                </c:pt>
                <c:pt idx="2">
                  <c:v>1.3050006007277168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14-9244-A150-DC605224D815}"/>
            </c:ext>
          </c:extLst>
        </c:ser>
        <c:ser>
          <c:idx val="3"/>
          <c:order val="3"/>
          <c:tx>
            <c:v>High@80F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COP!$N$77:$N$80</c:f>
              <c:numCache>
                <c:formatCode>General</c:formatCode>
                <c:ptCount val="4"/>
                <c:pt idx="0">
                  <c:v>-15</c:v>
                </c:pt>
                <c:pt idx="1">
                  <c:v>5</c:v>
                </c:pt>
                <c:pt idx="2">
                  <c:v>17</c:v>
                </c:pt>
                <c:pt idx="3">
                  <c:v>47</c:v>
                </c:pt>
              </c:numCache>
            </c:numRef>
          </c:xVal>
          <c:yVal>
            <c:numRef>
              <c:f>COP!$O$77:$O$80</c:f>
              <c:numCache>
                <c:formatCode>General</c:formatCode>
                <c:ptCount val="4"/>
                <c:pt idx="0">
                  <c:v>0.41215782083052732</c:v>
                </c:pt>
                <c:pt idx="1">
                  <c:v>0.54513656540668798</c:v>
                </c:pt>
                <c:pt idx="2">
                  <c:v>0.62492381215238435</c:v>
                </c:pt>
                <c:pt idx="3">
                  <c:v>0.80040474082121582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314-9244-A150-DC605224D815}"/>
            </c:ext>
          </c:extLst>
        </c:ser>
        <c:ser>
          <c:idx val="4"/>
          <c:order val="4"/>
          <c:tx>
            <c:v>High@70F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COP!$N$77:$N$80</c:f>
              <c:numCache>
                <c:formatCode>General</c:formatCode>
                <c:ptCount val="4"/>
                <c:pt idx="0">
                  <c:v>-15</c:v>
                </c:pt>
                <c:pt idx="1">
                  <c:v>5</c:v>
                </c:pt>
                <c:pt idx="2">
                  <c:v>17</c:v>
                </c:pt>
                <c:pt idx="3">
                  <c:v>47</c:v>
                </c:pt>
              </c:numCache>
            </c:numRef>
          </c:xVal>
          <c:yVal>
            <c:numRef>
              <c:f>COP!$P$77:$P$80</c:f>
              <c:numCache>
                <c:formatCode>General</c:formatCode>
                <c:ptCount val="4"/>
                <c:pt idx="0">
                  <c:v>0.63734081909580054</c:v>
                </c:pt>
                <c:pt idx="1">
                  <c:v>0.75426703027598441</c:v>
                </c:pt>
                <c:pt idx="2">
                  <c:v>0.82442275698409473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14-9244-A150-DC605224D815}"/>
            </c:ext>
          </c:extLst>
        </c:ser>
        <c:ser>
          <c:idx val="5"/>
          <c:order val="5"/>
          <c:tx>
            <c:v>High@40F</c:v>
          </c:tx>
          <c:spPr>
            <a:ln w="19050" cap="rnd">
              <a:solidFill>
                <a:schemeClr val="accent1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COP!$N$77:$N$80</c:f>
              <c:numCache>
                <c:formatCode>General</c:formatCode>
                <c:ptCount val="4"/>
                <c:pt idx="0">
                  <c:v>-15</c:v>
                </c:pt>
                <c:pt idx="1">
                  <c:v>5</c:v>
                </c:pt>
                <c:pt idx="2">
                  <c:v>17</c:v>
                </c:pt>
                <c:pt idx="3">
                  <c:v>47</c:v>
                </c:pt>
              </c:numCache>
            </c:numRef>
          </c:xVal>
          <c:yVal>
            <c:numRef>
              <c:f>COP!$Q$77:$Q$80</c:f>
              <c:numCache>
                <c:formatCode>General</c:formatCode>
                <c:ptCount val="4"/>
                <c:pt idx="0">
                  <c:v>1.312889813891621</c:v>
                </c:pt>
                <c:pt idx="1">
                  <c:v>1.3816584248838739</c:v>
                </c:pt>
                <c:pt idx="2">
                  <c:v>1.4229195914792256</c:v>
                </c:pt>
                <c:pt idx="3">
                  <c:v>1.5987857775363516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314-9244-A150-DC605224D815}"/>
            </c:ext>
          </c:extLst>
        </c:ser>
        <c:ser>
          <c:idx val="6"/>
          <c:order val="6"/>
          <c:tx>
            <c:v>Medium@80F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COP!$N$85:$N$87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COP!$O$85:$O$87</c:f>
              <c:numCache>
                <c:formatCode>General</c:formatCode>
                <c:ptCount val="3"/>
                <c:pt idx="0">
                  <c:v>0.35737733674039884</c:v>
                </c:pt>
                <c:pt idx="1">
                  <c:v>0.6940263586043165</c:v>
                </c:pt>
                <c:pt idx="2">
                  <c:v>1.0096348166017393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314-9244-A150-DC605224D815}"/>
            </c:ext>
          </c:extLst>
        </c:ser>
        <c:ser>
          <c:idx val="7"/>
          <c:order val="7"/>
          <c:tx>
            <c:v>Medium@70F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COP!$N$85:$N$87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COP!$P$85:$P$87</c:f>
              <c:numCache>
                <c:formatCode>General</c:formatCode>
                <c:ptCount val="3"/>
                <c:pt idx="0">
                  <c:v>0.54671081223723572</c:v>
                </c:pt>
                <c:pt idx="1">
                  <c:v>0.91558540873888428</c:v>
                </c:pt>
                <c:pt idx="2">
                  <c:v>1.2614053429591798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314-9244-A150-DC605224D815}"/>
            </c:ext>
          </c:extLst>
        </c:ser>
        <c:ser>
          <c:idx val="8"/>
          <c:order val="8"/>
          <c:tx>
            <c:v>Medium@40F</c:v>
          </c:tx>
          <c:spPr>
            <a:ln w="19050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COP!$N$85:$N$87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COP!$Q$85:$Q$87</c:f>
              <c:numCache>
                <c:formatCode>General</c:formatCode>
                <c:ptCount val="3"/>
                <c:pt idx="0">
                  <c:v>1.1147112387277467</c:v>
                </c:pt>
                <c:pt idx="1">
                  <c:v>1.5802625591425874</c:v>
                </c:pt>
                <c:pt idx="2">
                  <c:v>2.0167169220315007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314-9244-A150-DC605224D815}"/>
            </c:ext>
          </c:extLst>
        </c:ser>
        <c:ser>
          <c:idx val="9"/>
          <c:order val="9"/>
          <c:tx>
            <c:v>Low@80F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COP!$N$94:$N$96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COP!$O$94:$O$96</c:f>
              <c:numCache>
                <c:formatCode>General</c:formatCode>
                <c:ptCount val="3"/>
                <c:pt idx="0">
                  <c:v>0.38245087108620407</c:v>
                </c:pt>
                <c:pt idx="1">
                  <c:v>0.74756896195406319</c:v>
                </c:pt>
                <c:pt idx="2">
                  <c:v>1.0898671721426811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314-9244-A150-DC605224D815}"/>
            </c:ext>
          </c:extLst>
        </c:ser>
        <c:ser>
          <c:idx val="10"/>
          <c:order val="10"/>
          <c:tx>
            <c:v>Low@70F</c:v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COP!$N$94:$N$96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COP!$P$94:$P$96</c:f>
              <c:numCache>
                <c:formatCode>General</c:formatCode>
                <c:ptCount val="3"/>
                <c:pt idx="0">
                  <c:v>0.58576825049922088</c:v>
                </c:pt>
                <c:pt idx="1">
                  <c:v>0.98622080430441628</c:v>
                </c:pt>
                <c:pt idx="2">
                  <c:v>1.3616450734967869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314-9244-A150-DC605224D815}"/>
            </c:ext>
          </c:extLst>
        </c:ser>
        <c:ser>
          <c:idx val="11"/>
          <c:order val="11"/>
          <c:tx>
            <c:v>Low@40F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COP!$N$94:$N$96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COP!$Q$94:$Q$96</c:f>
              <c:numCache>
                <c:formatCode>General</c:formatCode>
                <c:ptCount val="3"/>
                <c:pt idx="0">
                  <c:v>1.1957203887382728</c:v>
                </c:pt>
                <c:pt idx="1">
                  <c:v>1.7021763313554754</c:v>
                </c:pt>
                <c:pt idx="2">
                  <c:v>2.176978777559103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314-9244-A150-DC605224D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101359"/>
        <c:axId val="622734319"/>
      </c:scatterChart>
      <c:valAx>
        <c:axId val="62210135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Outdoor</a:t>
                </a:r>
                <a:r>
                  <a:rPr lang="en-US" sz="1100" b="1" baseline="0">
                    <a:solidFill>
                      <a:schemeClr val="tx1"/>
                    </a:solidFill>
                  </a:rPr>
                  <a:t> Temperature [°F]</a:t>
                </a:r>
                <a:endParaRPr lang="en-US" sz="11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734319"/>
        <c:crossesAt val="-15"/>
        <c:crossBetween val="midCat"/>
      </c:valAx>
      <c:valAx>
        <c:axId val="622734319"/>
        <c:scaling>
          <c:orientation val="minMax"/>
          <c:min val="0.3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COP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01359"/>
        <c:crosses val="autoZero"/>
        <c:crossBetween val="midCat"/>
      </c:valAx>
      <c:spPr>
        <a:noFill/>
        <a:ln w="25400" cap="flat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COP Levels at Different Indoor Temperatures</a:t>
            </a:r>
          </a:p>
        </c:rich>
      </c:tx>
      <c:overlay val="0"/>
      <c:spPr>
        <a:solidFill>
          <a:schemeClr val="bg1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Boost@80</c:v>
          </c:tx>
          <c:spPr>
            <a:ln w="19050" cap="rnd">
              <a:solidFill>
                <a:srgbClr val="FFE1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FFE1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A95-6348-8FC8-DB59040581D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A95-6348-8FC8-DB59040581D8}"/>
              </c:ext>
            </c:extLst>
          </c:dPt>
          <c:xVal>
            <c:numRef>
              <c:f>'COP - Absolute'!$W$69:$W$71</c:f>
              <c:numCache>
                <c:formatCode>General</c:formatCode>
                <c:ptCount val="3"/>
                <c:pt idx="0">
                  <c:v>-15</c:v>
                </c:pt>
                <c:pt idx="1">
                  <c:v>5</c:v>
                </c:pt>
                <c:pt idx="2">
                  <c:v>17</c:v>
                </c:pt>
              </c:numCache>
            </c:numRef>
          </c:xVal>
          <c:yVal>
            <c:numRef>
              <c:f>'COP - Absolute'!$X$69:$X$71</c:f>
              <c:numCache>
                <c:formatCode>General</c:formatCode>
                <c:ptCount val="3"/>
                <c:pt idx="0">
                  <c:v>1.0771323383876765</c:v>
                </c:pt>
                <c:pt idx="1">
                  <c:v>1.4081706588844511</c:v>
                </c:pt>
                <c:pt idx="2">
                  <c:v>1.6067936511825158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95-6348-8FC8-DB59040581D8}"/>
            </c:ext>
          </c:extLst>
        </c:ser>
        <c:ser>
          <c:idx val="1"/>
          <c:order val="1"/>
          <c:tx>
            <c:v>Boost@70</c:v>
          </c:tx>
          <c:spPr>
            <a:ln w="19050" cap="rnd">
              <a:solidFill>
                <a:srgbClr val="FFE1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E1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A95-6348-8FC8-DB59040581D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E100"/>
                </a:solidFill>
                <a:ln w="9525">
                  <a:solidFill>
                    <a:srgbClr val="FFE1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A95-6348-8FC8-DB59040581D8}"/>
              </c:ext>
            </c:extLst>
          </c:dPt>
          <c:xVal>
            <c:numRef>
              <c:f>'COP - Absolute'!$W$69:$W$71</c:f>
              <c:numCache>
                <c:formatCode>General</c:formatCode>
                <c:ptCount val="3"/>
                <c:pt idx="0">
                  <c:v>-15</c:v>
                </c:pt>
                <c:pt idx="1">
                  <c:v>5</c:v>
                </c:pt>
                <c:pt idx="2">
                  <c:v>17</c:v>
                </c:pt>
              </c:numCache>
            </c:numRef>
          </c:xVal>
          <c:yVal>
            <c:numRef>
              <c:f>'COP - Absolute'!$Y$69:$Y$71</c:f>
              <c:numCache>
                <c:formatCode>General</c:formatCode>
                <c:ptCount val="3"/>
                <c:pt idx="0">
                  <c:v>1.6627938830364202</c:v>
                </c:pt>
                <c:pt idx="1">
                  <c:v>1.9483864565316151</c:v>
                </c:pt>
                <c:pt idx="2">
                  <c:v>2.1197420006287322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95-6348-8FC8-DB59040581D8}"/>
            </c:ext>
          </c:extLst>
        </c:ser>
        <c:ser>
          <c:idx val="2"/>
          <c:order val="2"/>
          <c:tx>
            <c:v>Boost@40</c:v>
          </c:tx>
          <c:spPr>
            <a:ln w="19050" cap="rnd">
              <a:solidFill>
                <a:srgbClr val="FFE100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rgbClr val="FFE100"/>
              </a:solidFill>
              <a:ln w="9525">
                <a:solidFill>
                  <a:srgbClr val="FFE100"/>
                </a:solidFill>
              </a:ln>
              <a:effectLst/>
            </c:spPr>
          </c:marker>
          <c:xVal>
            <c:numRef>
              <c:f>'COP - Absolute'!$W$69:$W$71</c:f>
              <c:numCache>
                <c:formatCode>General</c:formatCode>
                <c:ptCount val="3"/>
                <c:pt idx="0">
                  <c:v>-15</c:v>
                </c:pt>
                <c:pt idx="1">
                  <c:v>5</c:v>
                </c:pt>
                <c:pt idx="2">
                  <c:v>17</c:v>
                </c:pt>
              </c:numCache>
            </c:numRef>
          </c:xVal>
          <c:yVal>
            <c:numRef>
              <c:f>'COP - Absolute'!$Z$69:$Z$71</c:f>
              <c:numCache>
                <c:formatCode>General</c:formatCode>
                <c:ptCount val="3"/>
                <c:pt idx="0">
                  <c:v>3.4197785169826442</c:v>
                </c:pt>
                <c:pt idx="1">
                  <c:v>3.5690338494731053</c:v>
                </c:pt>
                <c:pt idx="2">
                  <c:v>3.658587048967382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A95-6348-8FC8-DB59040581D8}"/>
            </c:ext>
          </c:extLst>
        </c:ser>
        <c:ser>
          <c:idx val="3"/>
          <c:order val="3"/>
          <c:tx>
            <c:v>High@80F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'COP - Absolute'!$W$77:$W$80</c:f>
              <c:numCache>
                <c:formatCode>General</c:formatCode>
                <c:ptCount val="4"/>
                <c:pt idx="0">
                  <c:v>-15</c:v>
                </c:pt>
                <c:pt idx="1">
                  <c:v>5</c:v>
                </c:pt>
                <c:pt idx="2">
                  <c:v>17</c:v>
                </c:pt>
                <c:pt idx="3">
                  <c:v>47</c:v>
                </c:pt>
              </c:numCache>
            </c:numRef>
          </c:xVal>
          <c:yVal>
            <c:numRef>
              <c:f>'COP - Absolute'!$X$77:$X$80</c:f>
              <c:numCache>
                <c:formatCode>General</c:formatCode>
                <c:ptCount val="4"/>
                <c:pt idx="0">
                  <c:v>1.1554900929396634</c:v>
                </c:pt>
                <c:pt idx="1">
                  <c:v>1.5282978237736449</c:v>
                </c:pt>
                <c:pt idx="2">
                  <c:v>1.7519824622740336</c:v>
                </c:pt>
                <c:pt idx="3">
                  <c:v>2.2439456480461675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95-6348-8FC8-DB59040581D8}"/>
            </c:ext>
          </c:extLst>
        </c:ser>
        <c:ser>
          <c:idx val="4"/>
          <c:order val="4"/>
          <c:tx>
            <c:v>High@70F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'COP - Absolute'!$W$77:$W$80</c:f>
              <c:numCache>
                <c:formatCode>General</c:formatCode>
                <c:ptCount val="4"/>
                <c:pt idx="0">
                  <c:v>-15</c:v>
                </c:pt>
                <c:pt idx="1">
                  <c:v>5</c:v>
                </c:pt>
                <c:pt idx="2">
                  <c:v>17</c:v>
                </c:pt>
                <c:pt idx="3">
                  <c:v>47</c:v>
                </c:pt>
              </c:numCache>
            </c:numRef>
          </c:xVal>
          <c:yVal>
            <c:numRef>
              <c:f>'COP - Absolute'!$Y$77:$Y$80</c:f>
              <c:numCache>
                <c:formatCode>General</c:formatCode>
                <c:ptCount val="4"/>
                <c:pt idx="0">
                  <c:v>1.7867937112227221</c:v>
                </c:pt>
                <c:pt idx="1">
                  <c:v>2.1145979449296624</c:v>
                </c:pt>
                <c:pt idx="2">
                  <c:v>2.3112804851538264</c:v>
                </c:pt>
                <c:pt idx="3">
                  <c:v>2.8035136895164783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A95-6348-8FC8-DB59040581D8}"/>
            </c:ext>
          </c:extLst>
        </c:ser>
        <c:ser>
          <c:idx val="5"/>
          <c:order val="5"/>
          <c:tx>
            <c:v>High@40F</c:v>
          </c:tx>
          <c:spPr>
            <a:ln w="19050" cap="rnd">
              <a:solidFill>
                <a:schemeClr val="accent1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'COP - Absolute'!$W$77:$W$80</c:f>
              <c:numCache>
                <c:formatCode>General</c:formatCode>
                <c:ptCount val="4"/>
                <c:pt idx="0">
                  <c:v>-15</c:v>
                </c:pt>
                <c:pt idx="1">
                  <c:v>5</c:v>
                </c:pt>
                <c:pt idx="2">
                  <c:v>17</c:v>
                </c:pt>
                <c:pt idx="3">
                  <c:v>47</c:v>
                </c:pt>
              </c:numCache>
            </c:numRef>
          </c:xVal>
          <c:yVal>
            <c:numRef>
              <c:f>'COP - Absolute'!$Z$77:$Z$80</c:f>
              <c:numCache>
                <c:formatCode>General</c:formatCode>
                <c:ptCount val="4"/>
                <c:pt idx="0">
                  <c:v>3.6807045660719018</c:v>
                </c:pt>
                <c:pt idx="1">
                  <c:v>3.8734983083977155</c:v>
                </c:pt>
                <c:pt idx="2">
                  <c:v>3.989174553793204</c:v>
                </c:pt>
                <c:pt idx="3">
                  <c:v>4.4822178139274085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A95-6348-8FC8-DB59040581D8}"/>
            </c:ext>
          </c:extLst>
        </c:ser>
        <c:ser>
          <c:idx val="6"/>
          <c:order val="6"/>
          <c:tx>
            <c:v>Medium@80F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'COP - Absolute'!$W$85:$W$87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'COP - Absolute'!$X$85:$X$87</c:f>
              <c:numCache>
                <c:formatCode>General</c:formatCode>
                <c:ptCount val="3"/>
                <c:pt idx="0">
                  <c:v>1.0019122558746485</c:v>
                </c:pt>
                <c:pt idx="1">
                  <c:v>1.9457123972324737</c:v>
                </c:pt>
                <c:pt idx="2">
                  <c:v>2.8305250297554347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A95-6348-8FC8-DB59040581D8}"/>
            </c:ext>
          </c:extLst>
        </c:ser>
        <c:ser>
          <c:idx val="7"/>
          <c:order val="7"/>
          <c:tx>
            <c:v>Medium@70F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'COP - Absolute'!$W$85:$W$87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'COP - Absolute'!$Y$85:$Y$87</c:f>
              <c:numCache>
                <c:formatCode>General</c:formatCode>
                <c:ptCount val="3"/>
                <c:pt idx="0">
                  <c:v>1.5327112463137631</c:v>
                </c:pt>
                <c:pt idx="1">
                  <c:v>2.566856227321002</c:v>
                </c:pt>
                <c:pt idx="2">
                  <c:v>3.5363671470152886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A95-6348-8FC8-DB59040581D8}"/>
            </c:ext>
          </c:extLst>
        </c:ser>
        <c:ser>
          <c:idx val="8"/>
          <c:order val="8"/>
          <c:tx>
            <c:v>Medium@40F</c:v>
          </c:tx>
          <c:spPr>
            <a:ln w="19050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'COP - Absolute'!$W$85:$W$87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'COP - Absolute'!$Z$85:$Z$87</c:f>
              <c:numCache>
                <c:formatCode>General</c:formatCode>
                <c:ptCount val="3"/>
                <c:pt idx="0">
                  <c:v>3.1251082176311091</c:v>
                </c:pt>
                <c:pt idx="1">
                  <c:v>4.4302877175865873</c:v>
                </c:pt>
                <c:pt idx="2">
                  <c:v>5.6538934987948481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A95-6348-8FC8-DB59040581D8}"/>
            </c:ext>
          </c:extLst>
        </c:ser>
        <c:ser>
          <c:idx val="9"/>
          <c:order val="9"/>
          <c:tx>
            <c:v>Low@80F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'COP - Absolute'!$W$94:$W$96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'COP - Absolute'!$X$94:$X$96</c:f>
              <c:numCache>
                <c:formatCode>General</c:formatCode>
                <c:ptCount val="3"/>
                <c:pt idx="0">
                  <c:v>1.0722062526576743</c:v>
                </c:pt>
                <c:pt idx="1">
                  <c:v>2.0958198186958392</c:v>
                </c:pt>
                <c:pt idx="2">
                  <c:v>3.0554575368566188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A95-6348-8FC8-DB59040581D8}"/>
            </c:ext>
          </c:extLst>
        </c:ser>
        <c:ser>
          <c:idx val="10"/>
          <c:order val="10"/>
          <c:tx>
            <c:v>Low@70F</c:v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'COP - Absolute'!$W$94:$W$96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'COP - Absolute'!$Y$94:$Y$96</c:f>
              <c:numCache>
                <c:formatCode>General</c:formatCode>
                <c:ptCount val="3"/>
                <c:pt idx="0">
                  <c:v>1.6422093091586838</c:v>
                </c:pt>
                <c:pt idx="1">
                  <c:v>2.7648835257533828</c:v>
                </c:pt>
                <c:pt idx="2">
                  <c:v>3.8173906038109133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A95-6348-8FC8-DB59040581D8}"/>
            </c:ext>
          </c:extLst>
        </c:ser>
        <c:ser>
          <c:idx val="11"/>
          <c:order val="11"/>
          <c:tx>
            <c:v>Low@40F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'COP - Absolute'!$W$94:$W$96</c:f>
              <c:numCache>
                <c:formatCode>General</c:formatCode>
                <c:ptCount val="3"/>
                <c:pt idx="0">
                  <c:v>-15</c:v>
                </c:pt>
                <c:pt idx="1">
                  <c:v>17</c:v>
                </c:pt>
                <c:pt idx="2">
                  <c:v>47</c:v>
                </c:pt>
              </c:numCache>
            </c:numRef>
          </c:xVal>
          <c:yVal>
            <c:numRef>
              <c:f>'COP - Absolute'!$Z$94:$Z$96</c:f>
              <c:numCache>
                <c:formatCode>General</c:formatCode>
                <c:ptCount val="3"/>
                <c:pt idx="0">
                  <c:v>3.352218478661714</c:v>
                </c:pt>
                <c:pt idx="1">
                  <c:v>4.7720746469260131</c:v>
                </c:pt>
                <c:pt idx="2">
                  <c:v>6.1031898046737938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A95-6348-8FC8-DB5904058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101359"/>
        <c:axId val="622734319"/>
      </c:scatterChart>
      <c:valAx>
        <c:axId val="62210135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Outdoor</a:t>
                </a:r>
                <a:r>
                  <a:rPr lang="en-US" sz="1100" b="1" baseline="0">
                    <a:solidFill>
                      <a:schemeClr val="tx1"/>
                    </a:solidFill>
                  </a:rPr>
                  <a:t> Temperature [°F]</a:t>
                </a:r>
                <a:endParaRPr lang="en-US" sz="11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734319"/>
        <c:crossesAt val="-15"/>
        <c:crossBetween val="midCat"/>
      </c:valAx>
      <c:valAx>
        <c:axId val="622734319"/>
        <c:scaling>
          <c:orientation val="minMax"/>
          <c:min val="0.3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COP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01359"/>
        <c:crosses val="autoZero"/>
        <c:crossBetween val="midCat"/>
      </c:valAx>
      <c:spPr>
        <a:noFill/>
        <a:ln w="25400" cap="flat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311092</xdr:colOff>
      <xdr:row>96</xdr:row>
      <xdr:rowOff>553589</xdr:rowOff>
    </xdr:from>
    <xdr:to>
      <xdr:col>14</xdr:col>
      <xdr:colOff>21707</xdr:colOff>
      <xdr:row>123</xdr:row>
      <xdr:rowOff>201896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073D73-54C6-BB49-82E0-799074733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311092</xdr:colOff>
      <xdr:row>96</xdr:row>
      <xdr:rowOff>553589</xdr:rowOff>
    </xdr:from>
    <xdr:to>
      <xdr:col>14</xdr:col>
      <xdr:colOff>21707</xdr:colOff>
      <xdr:row>123</xdr:row>
      <xdr:rowOff>201896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CF78DA-FAD1-4C4B-883A-7D158C26D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311092</xdr:colOff>
      <xdr:row>96</xdr:row>
      <xdr:rowOff>553589</xdr:rowOff>
    </xdr:from>
    <xdr:to>
      <xdr:col>14</xdr:col>
      <xdr:colOff>21707</xdr:colOff>
      <xdr:row>123</xdr:row>
      <xdr:rowOff>201896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C03F1A-5C5E-454A-9FF9-822C9E9A7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311092</xdr:colOff>
      <xdr:row>96</xdr:row>
      <xdr:rowOff>553589</xdr:rowOff>
    </xdr:from>
    <xdr:to>
      <xdr:col>14</xdr:col>
      <xdr:colOff>21707</xdr:colOff>
      <xdr:row>123</xdr:row>
      <xdr:rowOff>201896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2844E-68C2-1249-AEFC-91C65A4CA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8AB7-0E03-CE4B-BAAF-B8DF1815CB08}">
  <dimension ref="A2:S120"/>
  <sheetViews>
    <sheetView topLeftCell="A56" zoomScaleNormal="25" workbookViewId="0">
      <selection activeCell="Y54" sqref="Y54"/>
    </sheetView>
  </sheetViews>
  <sheetFormatPr baseColWidth="10" defaultRowHeight="16" x14ac:dyDescent="0.2"/>
  <cols>
    <col min="5" max="5" width="12.5" customWidth="1"/>
    <col min="7" max="7" width="30.5" bestFit="1" customWidth="1"/>
    <col min="8" max="8" width="12.1640625" bestFit="1" customWidth="1"/>
    <col min="15" max="15" width="15.6640625" customWidth="1"/>
    <col min="16" max="16" width="26.1640625" customWidth="1"/>
    <col min="17" max="17" width="18.5" customWidth="1"/>
    <col min="18" max="18" width="4.6640625" bestFit="1" customWidth="1"/>
  </cols>
  <sheetData>
    <row r="2" spans="1:12" x14ac:dyDescent="0.2">
      <c r="A2" s="59" t="s">
        <v>48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x14ac:dyDescent="0.2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2" x14ac:dyDescent="0.2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6" spans="1:12" x14ac:dyDescent="0.2">
      <c r="B6" t="s">
        <v>14</v>
      </c>
      <c r="D6" t="s">
        <v>4</v>
      </c>
      <c r="E6" t="s">
        <v>15</v>
      </c>
      <c r="F6" s="24" t="s">
        <v>24</v>
      </c>
      <c r="H6" t="s">
        <v>27</v>
      </c>
    </row>
    <row r="7" spans="1:12" x14ac:dyDescent="0.2">
      <c r="B7">
        <v>47</v>
      </c>
      <c r="C7" t="s">
        <v>29</v>
      </c>
      <c r="D7">
        <v>143600.3512</v>
      </c>
      <c r="E7">
        <v>3.5916312862012156</v>
      </c>
      <c r="F7" s="24">
        <v>136888.9472</v>
      </c>
      <c r="G7">
        <v>136.88894719999999</v>
      </c>
      <c r="H7">
        <v>4.114565784571294</v>
      </c>
    </row>
    <row r="8" spans="1:12" x14ac:dyDescent="0.2">
      <c r="B8">
        <v>47</v>
      </c>
      <c r="C8" t="s">
        <v>31</v>
      </c>
      <c r="D8">
        <v>90402.466143516562</v>
      </c>
      <c r="E8">
        <v>4.4190066228502065</v>
      </c>
      <c r="F8" s="24">
        <v>89494.636208864948</v>
      </c>
      <c r="G8">
        <v>89.494636208864947</v>
      </c>
      <c r="H8">
        <v>4.5779145912526316</v>
      </c>
    </row>
    <row r="9" spans="1:12" x14ac:dyDescent="0.2">
      <c r="B9">
        <v>47</v>
      </c>
      <c r="C9" t="s">
        <v>31</v>
      </c>
      <c r="D9">
        <v>52592.621575885678</v>
      </c>
      <c r="E9">
        <v>5.208655495744031</v>
      </c>
      <c r="F9" s="24">
        <v>52383.698066323028</v>
      </c>
      <c r="G9">
        <v>52.383698066323028</v>
      </c>
      <c r="H9">
        <v>5.2977365875663311</v>
      </c>
    </row>
    <row r="10" spans="1:12" x14ac:dyDescent="0.2">
      <c r="B10">
        <v>17</v>
      </c>
      <c r="C10" t="s">
        <v>29</v>
      </c>
      <c r="D10">
        <v>92975.351200000005</v>
      </c>
      <c r="E10">
        <v>2.2970857186780878</v>
      </c>
      <c r="F10" s="24">
        <v>86263.94720000001</v>
      </c>
      <c r="G10">
        <v>86.263947200000004</v>
      </c>
      <c r="H10">
        <v>2.5550027521876295</v>
      </c>
    </row>
    <row r="11" spans="1:12" x14ac:dyDescent="0.2">
      <c r="B11">
        <v>17</v>
      </c>
      <c r="C11" t="s">
        <v>31</v>
      </c>
      <c r="D11">
        <v>58002.466143516562</v>
      </c>
      <c r="E11">
        <v>2.7986651482593259</v>
      </c>
      <c r="F11" s="24">
        <v>57094.636208864948</v>
      </c>
      <c r="G11">
        <v>57.094636208864948</v>
      </c>
      <c r="H11">
        <v>2.8811505993100179</v>
      </c>
    </row>
    <row r="12" spans="1:12" x14ac:dyDescent="0.2">
      <c r="B12">
        <v>17</v>
      </c>
      <c r="C12" t="s">
        <v>31</v>
      </c>
      <c r="D12">
        <v>33692.621575885678</v>
      </c>
      <c r="E12">
        <v>3.2933334941984418</v>
      </c>
      <c r="F12" s="24">
        <v>33483.698066323028</v>
      </c>
      <c r="G12">
        <v>33.483698066323029</v>
      </c>
      <c r="H12">
        <v>3.3412431790935759</v>
      </c>
    </row>
    <row r="13" spans="1:12" x14ac:dyDescent="0.2">
      <c r="B13">
        <v>17</v>
      </c>
      <c r="C13" t="s">
        <v>31</v>
      </c>
      <c r="D13">
        <v>122975.3512</v>
      </c>
      <c r="E13">
        <v>2.2167566052290266</v>
      </c>
      <c r="F13" s="24">
        <v>116263.94720000001</v>
      </c>
      <c r="G13">
        <v>116.2639472</v>
      </c>
      <c r="H13">
        <v>2.3842988594854568</v>
      </c>
    </row>
    <row r="14" spans="1:12" x14ac:dyDescent="0.2">
      <c r="B14">
        <v>5</v>
      </c>
      <c r="C14" t="s">
        <v>31</v>
      </c>
      <c r="D14">
        <v>70475.351200000005</v>
      </c>
      <c r="E14">
        <v>1.1899524405015265</v>
      </c>
      <c r="F14" s="24">
        <v>63763.947200000002</v>
      </c>
      <c r="G14">
        <v>63.763947200000004</v>
      </c>
      <c r="H14">
        <v>1.2142689373214022</v>
      </c>
    </row>
    <row r="15" spans="1:12" x14ac:dyDescent="0.2">
      <c r="B15">
        <v>5</v>
      </c>
      <c r="C15" t="s">
        <v>31</v>
      </c>
      <c r="D15" s="24">
        <v>92975.351200000005</v>
      </c>
      <c r="E15">
        <v>1.1376561842171686</v>
      </c>
      <c r="F15" s="24">
        <v>86263.94720000001</v>
      </c>
      <c r="G15">
        <v>86.263947200000004</v>
      </c>
      <c r="H15">
        <v>1.1500088300701143</v>
      </c>
    </row>
    <row r="21" spans="1:17" ht="16" customHeight="1" x14ac:dyDescent="0.2">
      <c r="A21" s="60" t="s">
        <v>49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spans="1:17" ht="16" customHeight="1" x14ac:dyDescent="0.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</row>
    <row r="23" spans="1:17" ht="16" customHeight="1" x14ac:dyDescent="0.2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</row>
    <row r="24" spans="1:17" x14ac:dyDescent="0.2">
      <c r="A24" s="60" t="s">
        <v>50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</row>
    <row r="25" spans="1:17" x14ac:dyDescent="0.2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</row>
    <row r="26" spans="1:17" x14ac:dyDescent="0.2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9" spans="1:17" ht="17" thickBot="1" x14ac:dyDescent="0.25"/>
    <row r="30" spans="1:17" ht="17" thickBot="1" x14ac:dyDescent="0.25">
      <c r="G30" s="4" t="s">
        <v>0</v>
      </c>
      <c r="H30" s="53" t="s">
        <v>1</v>
      </c>
      <c r="I30" s="54"/>
      <c r="J30" s="54"/>
      <c r="K30" s="54"/>
      <c r="L30" s="54"/>
      <c r="M30" s="54"/>
      <c r="N30" s="54"/>
      <c r="O30" s="55"/>
    </row>
    <row r="31" spans="1:17" ht="17" thickBot="1" x14ac:dyDescent="0.25">
      <c r="A31" s="51" t="s">
        <v>40</v>
      </c>
      <c r="B31" s="51"/>
      <c r="G31" s="6"/>
      <c r="H31" s="5">
        <v>70</v>
      </c>
      <c r="I31" s="2">
        <v>55</v>
      </c>
      <c r="J31" s="2">
        <v>48</v>
      </c>
      <c r="K31" s="2">
        <v>47</v>
      </c>
      <c r="L31" s="2">
        <v>43</v>
      </c>
      <c r="M31" s="2">
        <v>42</v>
      </c>
      <c r="N31" s="2">
        <v>41</v>
      </c>
      <c r="O31" s="3">
        <v>40</v>
      </c>
    </row>
    <row r="32" spans="1:17" ht="17" thickBot="1" x14ac:dyDescent="0.25">
      <c r="A32" s="51"/>
      <c r="B32" s="51"/>
      <c r="G32" s="15">
        <v>-2.6542817457305716</v>
      </c>
      <c r="H32" s="7">
        <v>26.128226039080531</v>
      </c>
      <c r="I32" s="8"/>
      <c r="J32" s="8"/>
      <c r="K32" s="8"/>
      <c r="L32" s="8"/>
      <c r="M32" s="8"/>
      <c r="N32" s="8"/>
      <c r="O32" s="9"/>
    </row>
    <row r="33" spans="1:18" ht="17" thickBot="1" x14ac:dyDescent="0.25">
      <c r="A33" s="39">
        <v>-2.6542817457305716</v>
      </c>
      <c r="B33" s="6">
        <f>H44</f>
        <v>0.30288710398763935</v>
      </c>
      <c r="G33" s="15">
        <v>0</v>
      </c>
      <c r="H33" s="10"/>
      <c r="I33">
        <v>35.9</v>
      </c>
      <c r="L33">
        <v>38.114077191036415</v>
      </c>
      <c r="O33" s="11"/>
    </row>
    <row r="34" spans="1:18" ht="17" thickBot="1" x14ac:dyDescent="0.25">
      <c r="A34" s="16">
        <v>2.4791191646191955</v>
      </c>
      <c r="B34" s="4">
        <f>H46</f>
        <v>0.35227616047735871</v>
      </c>
      <c r="C34" t="s">
        <v>42</v>
      </c>
      <c r="G34" s="15">
        <v>2.4791191646191955</v>
      </c>
      <c r="H34" s="10">
        <v>30.388719189270795</v>
      </c>
      <c r="O34" s="11"/>
    </row>
    <row r="35" spans="1:18" x14ac:dyDescent="0.2">
      <c r="G35" s="15">
        <v>17.113117392753022</v>
      </c>
      <c r="H35" s="10">
        <v>46.929796141700912</v>
      </c>
      <c r="I35">
        <v>54.296069424083967</v>
      </c>
      <c r="K35">
        <v>56.646213015892826</v>
      </c>
      <c r="N35">
        <v>58.339573048595739</v>
      </c>
      <c r="O35" s="11"/>
    </row>
    <row r="36" spans="1:18" x14ac:dyDescent="0.2">
      <c r="A36" s="51" t="s">
        <v>41</v>
      </c>
      <c r="B36" s="51"/>
      <c r="G36" s="15">
        <v>36.013495910149757</v>
      </c>
      <c r="H36" s="10">
        <v>73.594445506004391</v>
      </c>
      <c r="I36">
        <v>78.541820939414876</v>
      </c>
      <c r="O36" s="11">
        <v>83.183152280853008</v>
      </c>
    </row>
    <row r="37" spans="1:18" ht="17" thickBot="1" x14ac:dyDescent="0.25">
      <c r="A37" s="51"/>
      <c r="B37" s="51"/>
      <c r="G37" s="15">
        <v>40.179596000000018</v>
      </c>
      <c r="H37" s="10">
        <v>77.270001471521198</v>
      </c>
      <c r="I37">
        <v>82.674379764101531</v>
      </c>
      <c r="J37">
        <v>86.284854063726257</v>
      </c>
      <c r="O37" s="11">
        <v>90.610975328829198</v>
      </c>
    </row>
    <row r="38" spans="1:18" ht="17" thickBot="1" x14ac:dyDescent="0.25">
      <c r="A38" s="40">
        <v>43</v>
      </c>
      <c r="B38" s="6">
        <v>0.44183108506055357</v>
      </c>
      <c r="G38" s="15">
        <v>46.885640371752189</v>
      </c>
      <c r="H38" s="22">
        <v>86.263910529391282</v>
      </c>
      <c r="I38">
        <v>92.409359715280061</v>
      </c>
      <c r="L38">
        <v>97.880748576676879</v>
      </c>
      <c r="O38" s="11"/>
    </row>
    <row r="39" spans="1:18" ht="17" thickBot="1" x14ac:dyDescent="0.25">
      <c r="A39" s="40">
        <v>70</v>
      </c>
      <c r="B39" s="4">
        <v>0.328424262173593</v>
      </c>
      <c r="C39" t="s">
        <v>42</v>
      </c>
      <c r="G39" s="16">
        <v>60.011248993187053</v>
      </c>
      <c r="H39" s="12">
        <v>102.4744247741889</v>
      </c>
      <c r="I39" s="13">
        <v>108.53336871363203</v>
      </c>
      <c r="J39" s="13"/>
      <c r="K39" s="13"/>
      <c r="L39" s="13"/>
      <c r="M39" s="13">
        <v>117.20998736952691</v>
      </c>
      <c r="N39" s="13"/>
      <c r="O39" s="14"/>
    </row>
    <row r="41" spans="1:18" ht="17" thickBot="1" x14ac:dyDescent="0.25">
      <c r="A41" s="51" t="s">
        <v>43</v>
      </c>
      <c r="B41" s="51"/>
    </row>
    <row r="42" spans="1:18" ht="17" customHeight="1" thickBot="1" x14ac:dyDescent="0.25">
      <c r="A42" s="52"/>
      <c r="B42" s="52"/>
      <c r="G42" s="4" t="s">
        <v>0</v>
      </c>
      <c r="H42" s="53" t="s">
        <v>1</v>
      </c>
      <c r="I42" s="54"/>
      <c r="J42" s="54"/>
      <c r="K42" s="54"/>
      <c r="L42" s="54"/>
      <c r="M42" s="54"/>
      <c r="N42" s="54"/>
      <c r="O42" s="55"/>
    </row>
    <row r="43" spans="1:18" ht="17" thickBot="1" x14ac:dyDescent="0.25">
      <c r="A43" s="40">
        <v>41</v>
      </c>
      <c r="B43" s="6">
        <v>0.67629177358365855</v>
      </c>
      <c r="G43" s="6"/>
      <c r="H43" s="5">
        <v>70</v>
      </c>
      <c r="I43" s="2">
        <v>55</v>
      </c>
      <c r="J43" s="2">
        <v>48</v>
      </c>
      <c r="K43" s="2">
        <v>47</v>
      </c>
      <c r="L43" s="2">
        <v>43</v>
      </c>
      <c r="M43" s="2">
        <v>42</v>
      </c>
      <c r="N43" s="2">
        <v>41</v>
      </c>
      <c r="O43" s="3">
        <v>40</v>
      </c>
      <c r="P43" t="s">
        <v>5</v>
      </c>
    </row>
    <row r="44" spans="1:18" ht="17" thickBot="1" x14ac:dyDescent="0.25">
      <c r="A44" s="40">
        <v>70</v>
      </c>
      <c r="B44" s="4">
        <v>0.54402583715134611</v>
      </c>
      <c r="C44" t="s">
        <v>45</v>
      </c>
      <c r="G44" s="15">
        <v>-2.6542817457305716</v>
      </c>
      <c r="H44" s="7">
        <f>H32/$Q$44</f>
        <v>0.30288710398763935</v>
      </c>
      <c r="I44" s="7"/>
      <c r="J44" s="7"/>
      <c r="K44" s="7"/>
      <c r="L44" s="7"/>
      <c r="M44" s="7"/>
      <c r="N44" s="7"/>
      <c r="O44" s="6"/>
      <c r="P44" t="s">
        <v>6</v>
      </c>
      <c r="Q44" s="18">
        <v>86.263910530000004</v>
      </c>
    </row>
    <row r="45" spans="1:18" ht="17" thickBot="1" x14ac:dyDescent="0.25">
      <c r="G45" s="15">
        <v>0</v>
      </c>
      <c r="H45" s="27">
        <f>_xlfn.FORECAST.LINEAR(0,B33:B34,A33:A34)</f>
        <v>0.32842426217359255</v>
      </c>
      <c r="I45" s="27">
        <f>I33/$Q$44</f>
        <v>0.41616476437750932</v>
      </c>
      <c r="J45" s="27"/>
      <c r="K45" s="27"/>
      <c r="L45" s="27">
        <f t="shared" ref="L45" si="0">L33/$Q$44</f>
        <v>0.44183108506055357</v>
      </c>
      <c r="M45" s="27"/>
      <c r="N45" s="27"/>
      <c r="O45" s="37"/>
      <c r="R45" s="17"/>
    </row>
    <row r="46" spans="1:18" ht="17" thickBot="1" x14ac:dyDescent="0.25">
      <c r="A46" s="51" t="s">
        <v>47</v>
      </c>
      <c r="B46" s="51"/>
      <c r="G46" s="15">
        <v>2.4791191646191955</v>
      </c>
      <c r="H46" s="7">
        <f t="shared" ref="H46:O51" si="1">H34/$Q$44</f>
        <v>0.35227616047735871</v>
      </c>
      <c r="I46" s="7"/>
      <c r="J46" s="7"/>
      <c r="K46" s="7"/>
      <c r="L46" s="7"/>
      <c r="M46" s="7"/>
      <c r="N46" s="7"/>
      <c r="O46" s="6"/>
    </row>
    <row r="47" spans="1:18" ht="17" thickBot="1" x14ac:dyDescent="0.25">
      <c r="A47" s="52"/>
      <c r="B47" s="52"/>
      <c r="G47" s="15">
        <v>17.113117392753022</v>
      </c>
      <c r="H47" s="28">
        <f>H35/$H$38</f>
        <v>0.54402583715134611</v>
      </c>
      <c r="I47" s="28">
        <f t="shared" si="1"/>
        <v>0.6294181319916099</v>
      </c>
      <c r="J47" s="28"/>
      <c r="K47" s="28">
        <f t="shared" si="1"/>
        <v>0.65666177973919893</v>
      </c>
      <c r="L47" s="28"/>
      <c r="M47" s="28"/>
      <c r="N47" s="28">
        <f t="shared" si="1"/>
        <v>0.67629177358365855</v>
      </c>
      <c r="O47" s="38"/>
    </row>
    <row r="48" spans="1:18" ht="17" thickBot="1" x14ac:dyDescent="0.25">
      <c r="A48" s="40">
        <v>43</v>
      </c>
      <c r="B48" s="6">
        <v>1.1346662581756815</v>
      </c>
      <c r="G48" s="15">
        <v>36.013495910149757</v>
      </c>
      <c r="H48" s="7">
        <f t="shared" si="1"/>
        <v>0.85313133909470107</v>
      </c>
      <c r="I48" s="7">
        <f t="shared" si="1"/>
        <v>0.91048296392847139</v>
      </c>
      <c r="J48" s="7"/>
      <c r="K48" s="7"/>
      <c r="L48" s="7"/>
      <c r="M48" s="7"/>
      <c r="N48" s="7"/>
      <c r="O48" s="6">
        <f t="shared" si="1"/>
        <v>0.96428682365291563</v>
      </c>
    </row>
    <row r="49" spans="1:17" ht="17" thickBot="1" x14ac:dyDescent="0.25">
      <c r="A49" s="40">
        <v>70</v>
      </c>
      <c r="B49" s="4">
        <v>1</v>
      </c>
      <c r="C49" t="s">
        <v>46</v>
      </c>
      <c r="G49" s="15">
        <v>40.179596000000018</v>
      </c>
      <c r="H49" s="7">
        <f t="shared" si="1"/>
        <v>0.89573960879792258</v>
      </c>
      <c r="I49" s="7">
        <f t="shared" si="1"/>
        <v>0.95838896308033539</v>
      </c>
      <c r="J49" s="7">
        <f t="shared" si="1"/>
        <v>1.0002427844227972</v>
      </c>
      <c r="K49" s="7"/>
      <c r="L49" s="7"/>
      <c r="M49" s="7"/>
      <c r="N49" s="7"/>
      <c r="O49" s="6">
        <f t="shared" si="1"/>
        <v>1.0503926238924377</v>
      </c>
    </row>
    <row r="50" spans="1:17" ht="17" thickBot="1" x14ac:dyDescent="0.25">
      <c r="G50" s="15">
        <v>46.885640371752189</v>
      </c>
      <c r="H50" s="7">
        <f>H38/$Q$44</f>
        <v>0.99999999999294353</v>
      </c>
      <c r="I50" s="7">
        <f t="shared" si="1"/>
        <v>1.0712400950469647</v>
      </c>
      <c r="J50" s="7"/>
      <c r="K50" s="7"/>
      <c r="L50" s="7">
        <f t="shared" si="1"/>
        <v>1.1346662581756815</v>
      </c>
      <c r="M50" s="7"/>
      <c r="N50" s="7"/>
      <c r="O50" s="6"/>
    </row>
    <row r="51" spans="1:17" ht="17" thickBot="1" x14ac:dyDescent="0.25">
      <c r="G51" s="16">
        <v>60.011248993187053</v>
      </c>
      <c r="H51" s="26">
        <f t="shared" si="1"/>
        <v>1.1879176835897252</v>
      </c>
      <c r="I51" s="26">
        <f t="shared" si="1"/>
        <v>1.2581549809973822</v>
      </c>
      <c r="J51" s="26"/>
      <c r="K51" s="26"/>
      <c r="L51" s="26"/>
      <c r="M51" s="26">
        <f t="shared" si="1"/>
        <v>1.3587372361094712</v>
      </c>
      <c r="N51" s="26"/>
      <c r="O51" s="4"/>
    </row>
    <row r="52" spans="1:17" x14ac:dyDescent="0.2">
      <c r="G52" s="41"/>
    </row>
    <row r="53" spans="1:17" x14ac:dyDescent="0.2">
      <c r="G53" s="41"/>
    </row>
    <row r="54" spans="1:17" ht="16" customHeight="1" x14ac:dyDescent="0.2">
      <c r="A54" s="56" t="s">
        <v>51</v>
      </c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</row>
    <row r="55" spans="1:17" ht="16" customHeight="1" x14ac:dyDescent="0.2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</row>
    <row r="56" spans="1:17" ht="16" customHeight="1" x14ac:dyDescent="0.2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</row>
    <row r="57" spans="1:17" ht="16" customHeight="1" x14ac:dyDescent="0.2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</row>
    <row r="58" spans="1:17" ht="16" customHeight="1" x14ac:dyDescent="0.2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</row>
    <row r="59" spans="1:17" ht="16" customHeight="1" x14ac:dyDescent="0.2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</row>
    <row r="60" spans="1:17" ht="16" customHeight="1" x14ac:dyDescent="0.2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</row>
    <row r="61" spans="1:17" ht="16" customHeight="1" x14ac:dyDescent="0.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</row>
    <row r="62" spans="1:17" ht="16" customHeight="1" x14ac:dyDescent="0.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</row>
    <row r="63" spans="1:17" x14ac:dyDescent="0.2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</row>
    <row r="64" spans="1:17" x14ac:dyDescent="0.2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</row>
    <row r="65" spans="1:19" x14ac:dyDescent="0.2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</row>
    <row r="66" spans="1:19" ht="17" thickBot="1" x14ac:dyDescent="0.25"/>
    <row r="67" spans="1:19" ht="17" thickBot="1" x14ac:dyDescent="0.25">
      <c r="C67" s="7" t="s">
        <v>3</v>
      </c>
      <c r="D67" s="9">
        <v>70</v>
      </c>
      <c r="G67" t="s">
        <v>44</v>
      </c>
      <c r="H67">
        <f>$B$39/H71</f>
        <v>0.7281804598383721</v>
      </c>
      <c r="I67">
        <f>$B$44/I71</f>
        <v>0.89496814359276178</v>
      </c>
      <c r="J67">
        <f>$B$49/J71</f>
        <v>1</v>
      </c>
      <c r="S67" t="s">
        <v>11</v>
      </c>
    </row>
    <row r="68" spans="1:19" ht="23" customHeight="1" thickBot="1" x14ac:dyDescent="0.35">
      <c r="C68" s="10">
        <v>5</v>
      </c>
      <c r="D68" s="11">
        <v>86.263947200000004</v>
      </c>
      <c r="G68" s="25" t="s">
        <v>2</v>
      </c>
      <c r="M68" s="48" t="s">
        <v>12</v>
      </c>
      <c r="N68" s="8" t="s">
        <v>3</v>
      </c>
      <c r="O68" s="8">
        <v>80</v>
      </c>
      <c r="P68" s="8">
        <v>70</v>
      </c>
      <c r="Q68" s="9">
        <v>40</v>
      </c>
    </row>
    <row r="69" spans="1:19" x14ac:dyDescent="0.2">
      <c r="C69" s="10">
        <v>17</v>
      </c>
      <c r="D69" s="11">
        <v>116.2639472</v>
      </c>
      <c r="G69" s="29"/>
      <c r="H69" s="33">
        <v>5</v>
      </c>
      <c r="I69" s="33">
        <v>17</v>
      </c>
      <c r="J69" s="34">
        <v>47</v>
      </c>
      <c r="M69" s="49"/>
      <c r="N69">
        <v>-15</v>
      </c>
      <c r="O69">
        <f>_xlfn.FORECAST.LINEAR(N69,O70:O71,N70:N71)</f>
        <v>0.16867262684140943</v>
      </c>
      <c r="P69">
        <f>_xlfn.FORECAST.LINEAR(N69,P70:P71,N70:N71)</f>
        <v>0.26491508585435325</v>
      </c>
      <c r="Q69" s="11">
        <f>_xlfn.FORECAST.LINEAR(N69,Q70:Q71,N70:N71)</f>
        <v>0.55364246289318297</v>
      </c>
    </row>
    <row r="70" spans="1:19" ht="16" customHeight="1" thickBot="1" x14ac:dyDescent="0.25">
      <c r="A70" s="57" t="s">
        <v>39</v>
      </c>
      <c r="B70" s="57"/>
      <c r="C70" s="12">
        <v>47</v>
      </c>
      <c r="D70" s="14">
        <f>_xlfn.FORECAST.LINEAR(47, D68:D69,C68:C69)</f>
        <v>191.26394720000002</v>
      </c>
      <c r="E70" s="58" t="s">
        <v>7</v>
      </c>
      <c r="G70" s="35">
        <v>40</v>
      </c>
      <c r="H70" s="1">
        <f>_xlfn.FORECAST.LINEAR(40,B38:B39,A38:A39)/H67</f>
        <v>0.62406486883755574</v>
      </c>
      <c r="I70" s="1">
        <f>_xlfn.FORECAST.LINEAR(40,B43:B44,A43:A44)/I67</f>
        <v>0.76075631609654537</v>
      </c>
      <c r="J70" s="30">
        <f>_xlfn.FORECAST.LINEAR(40,B48:B49,A48:A49)/J67</f>
        <v>1.1496291757507571</v>
      </c>
      <c r="M70" s="49"/>
      <c r="N70">
        <v>5</v>
      </c>
      <c r="O70">
        <f>H72*$S$70</f>
        <v>0.54958096397057343</v>
      </c>
      <c r="P70">
        <f>H71*$S$70</f>
        <v>0.63017467052299758</v>
      </c>
      <c r="Q70" s="11">
        <f>H70*$S$70</f>
        <v>0.87195579018026959</v>
      </c>
      <c r="S70">
        <f>D70/$D$79</f>
        <v>1.397219798327151</v>
      </c>
    </row>
    <row r="71" spans="1:19" ht="17" thickBot="1" x14ac:dyDescent="0.25">
      <c r="A71" s="57"/>
      <c r="B71" s="57"/>
      <c r="E71" s="58"/>
      <c r="G71" s="35">
        <v>70</v>
      </c>
      <c r="H71" s="1">
        <f>D68/D70</f>
        <v>0.45102042733540321</v>
      </c>
      <c r="I71" s="1">
        <f>D69/D70</f>
        <v>0.60787173381100224</v>
      </c>
      <c r="J71" s="30">
        <f>D70/D70</f>
        <v>1</v>
      </c>
      <c r="M71" s="50"/>
      <c r="N71" s="13">
        <v>17</v>
      </c>
      <c r="O71" s="13">
        <f>I72*$S$70</f>
        <v>0.77812596624807184</v>
      </c>
      <c r="P71" s="13">
        <f>I71*$S$70</f>
        <v>0.84933042132418424</v>
      </c>
      <c r="Q71" s="14">
        <f>I70*$S$70</f>
        <v>1.0629437865525215</v>
      </c>
    </row>
    <row r="72" spans="1:19" ht="17" thickBot="1" x14ac:dyDescent="0.25">
      <c r="E72" s="58"/>
      <c r="G72" s="36">
        <v>80</v>
      </c>
      <c r="H72" s="31">
        <f>_xlfn.FORECAST.LINEAR(G72,H70:H71,G70:G71)</f>
        <v>0.39333894683468562</v>
      </c>
      <c r="I72" s="31">
        <f>_xlfn.FORECAST.LINEAR(G72,I70:I71,G70:G71)</f>
        <v>0.55691020638248789</v>
      </c>
      <c r="J72" s="32">
        <f>_xlfn.FORECAST.LINEAR(G72,J70:J71,G70:G71)</f>
        <v>0.95012360808308094</v>
      </c>
    </row>
    <row r="73" spans="1:19" x14ac:dyDescent="0.2">
      <c r="E73" s="58"/>
    </row>
    <row r="74" spans="1:19" x14ac:dyDescent="0.2">
      <c r="E74" s="58"/>
    </row>
    <row r="75" spans="1:19" ht="17" thickBot="1" x14ac:dyDescent="0.25">
      <c r="G75" t="s">
        <v>44</v>
      </c>
      <c r="H75">
        <f>$B$39/H79</f>
        <v>0.70506380890861664</v>
      </c>
      <c r="I75">
        <f>$B$44/I79</f>
        <v>0.86329372251640257</v>
      </c>
      <c r="J75">
        <f>$B$49/J79</f>
        <v>1</v>
      </c>
    </row>
    <row r="76" spans="1:19" ht="23" thickBot="1" x14ac:dyDescent="0.35">
      <c r="C76" s="7" t="s">
        <v>3</v>
      </c>
      <c r="D76" s="9">
        <v>70</v>
      </c>
      <c r="G76" s="25" t="s">
        <v>8</v>
      </c>
      <c r="M76" s="48" t="s">
        <v>12</v>
      </c>
      <c r="N76" s="8" t="s">
        <v>3</v>
      </c>
      <c r="O76" s="8">
        <v>80</v>
      </c>
      <c r="P76" s="8">
        <v>70</v>
      </c>
      <c r="Q76" s="9">
        <v>40</v>
      </c>
      <c r="S76">
        <f>D79/$D$79</f>
        <v>1</v>
      </c>
    </row>
    <row r="77" spans="1:19" ht="16" customHeight="1" x14ac:dyDescent="0.2">
      <c r="C77" s="10">
        <v>5</v>
      </c>
      <c r="D77" s="11">
        <v>63.763947200000004</v>
      </c>
      <c r="G77" s="29"/>
      <c r="H77" s="33">
        <v>5</v>
      </c>
      <c r="I77" s="33">
        <v>17</v>
      </c>
      <c r="J77" s="34">
        <v>47</v>
      </c>
      <c r="M77" s="49"/>
      <c r="N77">
        <v>-15</v>
      </c>
      <c r="O77">
        <f>_xlfn.FORECAST.LINEAR(N77,O78:O79,N78:N79)</f>
        <v>0.12105493424034133</v>
      </c>
      <c r="P77">
        <f>_xlfn.FORECAST.LINEAR(N77,P78:P79,N78:N79)</f>
        <v>0.19186316892062422</v>
      </c>
      <c r="Q77">
        <f>_xlfn.FORECAST.LINEAR(N77,Q78:Q79,N78:N79)</f>
        <v>0.40428787296147345</v>
      </c>
    </row>
    <row r="78" spans="1:19" x14ac:dyDescent="0.2">
      <c r="C78" s="10">
        <v>17</v>
      </c>
      <c r="D78" s="11">
        <v>86.263947200000004</v>
      </c>
      <c r="G78" s="35">
        <v>40</v>
      </c>
      <c r="H78" s="1">
        <f>_xlfn.FORECAST.LINEAR(40,B38:B39,A38:A39)/H75</f>
        <v>0.64452583924642159</v>
      </c>
      <c r="I78" s="1">
        <f>_xlfn.FORECAST.LINEAR(40,B43:B44,A43:A44)/I75</f>
        <v>0.78866861901739049</v>
      </c>
      <c r="J78" s="30">
        <f>_xlfn.FORECAST.LINEAR(40,B48:B49,A48:A49)/J75</f>
        <v>1.1496291757507571</v>
      </c>
      <c r="M78" s="49"/>
      <c r="N78">
        <v>5</v>
      </c>
      <c r="O78">
        <f>H80*$S$76</f>
        <v>0.40623519681400289</v>
      </c>
      <c r="P78">
        <f>H79*$S$76</f>
        <v>0.46580785742210756</v>
      </c>
      <c r="Q78" s="11">
        <f>H78*$S$76</f>
        <v>0.64452583924642159</v>
      </c>
    </row>
    <row r="79" spans="1:19" ht="17" thickBot="1" x14ac:dyDescent="0.25">
      <c r="C79" s="12">
        <v>47</v>
      </c>
      <c r="D79" s="14">
        <v>136.88894719999999</v>
      </c>
      <c r="G79" s="35">
        <v>70</v>
      </c>
      <c r="H79">
        <f>D77/D79</f>
        <v>0.46580785742210756</v>
      </c>
      <c r="I79">
        <f>D78/D79</f>
        <v>0.63017467052299758</v>
      </c>
      <c r="J79">
        <f>D79/D79</f>
        <v>1</v>
      </c>
      <c r="M79" s="49"/>
      <c r="N79">
        <v>17</v>
      </c>
      <c r="O79">
        <f>I80*$S$76</f>
        <v>0.57734335435819983</v>
      </c>
      <c r="P79">
        <f>I79*$S$76</f>
        <v>0.63017467052299758</v>
      </c>
      <c r="Q79" s="11">
        <f>I78*$S$76</f>
        <v>0.78866861901739049</v>
      </c>
    </row>
    <row r="80" spans="1:19" ht="17" thickBot="1" x14ac:dyDescent="0.25">
      <c r="G80" s="36">
        <v>80</v>
      </c>
      <c r="H80" s="31">
        <f>_xlfn.FORECAST.LINEAR(G80,H78:H79,G78:G79)</f>
        <v>0.40623519681400289</v>
      </c>
      <c r="I80" s="31">
        <f>_xlfn.FORECAST.LINEAR(G80,I78:I79,G78:G79)</f>
        <v>0.57734335435819983</v>
      </c>
      <c r="J80" s="32">
        <f>_xlfn.FORECAST.LINEAR(G80,J78:J79,G78:G79)</f>
        <v>0.95012360808308094</v>
      </c>
      <c r="L80" s="19"/>
      <c r="M80" s="50"/>
      <c r="N80" s="13">
        <v>47</v>
      </c>
      <c r="O80" s="13">
        <f>J80*$S$76</f>
        <v>0.95012360808308094</v>
      </c>
      <c r="P80" s="13">
        <f>J79*$S$76</f>
        <v>1</v>
      </c>
      <c r="Q80" s="14">
        <f>J78*$S$76</f>
        <v>1.1496291757507571</v>
      </c>
    </row>
    <row r="83" spans="3:19" ht="17" thickBot="1" x14ac:dyDescent="0.25">
      <c r="G83" t="s">
        <v>44</v>
      </c>
      <c r="H83">
        <f>$B$39/H87</f>
        <v>0.66596696812665424</v>
      </c>
      <c r="I83">
        <f>$B$44/I87</f>
        <v>0.85274900790984276</v>
      </c>
      <c r="J83">
        <f>$B$49/J87</f>
        <v>1</v>
      </c>
    </row>
    <row r="84" spans="3:19" ht="23" customHeight="1" thickBot="1" x14ac:dyDescent="0.35">
      <c r="C84" s="7" t="s">
        <v>3</v>
      </c>
      <c r="D84" s="9">
        <v>70</v>
      </c>
      <c r="G84" s="25" t="s">
        <v>9</v>
      </c>
      <c r="M84" s="48" t="s">
        <v>12</v>
      </c>
      <c r="N84" s="8" t="s">
        <v>3</v>
      </c>
      <c r="O84" s="8">
        <v>80</v>
      </c>
      <c r="P84" s="8">
        <v>70</v>
      </c>
      <c r="Q84" s="9">
        <v>40</v>
      </c>
      <c r="S84">
        <f>D87/$D$79</f>
        <v>0.65377547303442884</v>
      </c>
    </row>
    <row r="85" spans="3:19" x14ac:dyDescent="0.2">
      <c r="C85" s="10">
        <v>5</v>
      </c>
      <c r="D85" s="11">
        <f>_xlfn.FORECAST.LINEAR(C85,D86:D87,C86:C87)</f>
        <v>44.134636208864869</v>
      </c>
      <c r="G85" s="29"/>
      <c r="H85" s="33">
        <v>5</v>
      </c>
      <c r="I85" s="33">
        <v>17</v>
      </c>
      <c r="J85" s="34">
        <v>47</v>
      </c>
      <c r="M85" s="49"/>
      <c r="N85">
        <v>-15</v>
      </c>
      <c r="O85">
        <f>_xlfn.FORECAST.LINEAR(N85,O86:O87,N86:N87)</f>
        <v>0.12713668941982875</v>
      </c>
      <c r="P85">
        <f>_xlfn.FORECAST.LINEAR(N85,P86:P87,N86:N87)</f>
        <v>0.1646198372461794</v>
      </c>
      <c r="Q85" s="11">
        <f>_xlfn.FORECAST.LINEAR(N85,Q86:Q87,N86:N87)</f>
        <v>0.27706928072523157</v>
      </c>
    </row>
    <row r="86" spans="3:19" x14ac:dyDescent="0.2">
      <c r="C86" s="10">
        <v>17</v>
      </c>
      <c r="D86" s="11">
        <v>57.094636208864898</v>
      </c>
      <c r="G86" s="35">
        <v>40</v>
      </c>
      <c r="H86" s="1">
        <f>_xlfn.FORECAST.LINEAR(40,B38:B39,A38:A39)/H83</f>
        <v>0.68236393831575204</v>
      </c>
      <c r="I86" s="1">
        <f>_xlfn.FORECAST.LINEAR(40,B43:B44,A43:A44)/I83</f>
        <v>0.79842094406209729</v>
      </c>
      <c r="J86" s="30">
        <f>_xlfn.FORECAST.LINEAR(40,B48:B49,A48:A49)/J83</f>
        <v>1.1496291757507571</v>
      </c>
      <c r="M86" s="49"/>
      <c r="N86">
        <v>17</v>
      </c>
      <c r="O86">
        <f>I88*$S$84</f>
        <v>0.38212033943059814</v>
      </c>
      <c r="P86">
        <f>I87*$S$84</f>
        <v>0.41708726216914688</v>
      </c>
      <c r="Q86" s="11">
        <f>I86*$S$84</f>
        <v>0.52198803038479291</v>
      </c>
    </row>
    <row r="87" spans="3:19" ht="17" thickBot="1" x14ac:dyDescent="0.25">
      <c r="C87" s="12">
        <v>47</v>
      </c>
      <c r="D87" s="14">
        <v>89.494636208864947</v>
      </c>
      <c r="G87" s="35">
        <v>70</v>
      </c>
      <c r="H87">
        <f>D85/D87</f>
        <v>0.49315398194213883</v>
      </c>
      <c r="I87">
        <f>D86/D87</f>
        <v>0.63796712995867066</v>
      </c>
      <c r="J87">
        <f>D87/D87</f>
        <v>1</v>
      </c>
      <c r="M87" s="50"/>
      <c r="N87" s="13">
        <v>47</v>
      </c>
      <c r="O87" s="13">
        <f>J88*$S$84</f>
        <v>0.62116751131569448</v>
      </c>
      <c r="P87" s="13">
        <f>J87*$S$84</f>
        <v>0.65377547303442884</v>
      </c>
      <c r="Q87" s="14">
        <f>J86*$S$84</f>
        <v>0.75159935819063173</v>
      </c>
    </row>
    <row r="88" spans="3:19" ht="17" thickBot="1" x14ac:dyDescent="0.25">
      <c r="G88" s="36">
        <v>80</v>
      </c>
      <c r="H88" s="31">
        <f>_xlfn.FORECAST.LINEAR(G88,H86:H87,G86:G87)</f>
        <v>0.43008399648426776</v>
      </c>
      <c r="I88" s="31">
        <f>_xlfn.FORECAST.LINEAR(G88,I86:I87,G86:G87)</f>
        <v>0.58448252525752842</v>
      </c>
      <c r="J88" s="32">
        <f>_xlfn.FORECAST.LINEAR(G88,J86:J87,G86:G87)</f>
        <v>0.95012360808308094</v>
      </c>
      <c r="L88" s="19"/>
    </row>
    <row r="91" spans="3:19" ht="17" thickBot="1" x14ac:dyDescent="0.25">
      <c r="G91" t="s">
        <v>44</v>
      </c>
      <c r="H91">
        <f>$B$39/H95</f>
        <v>0.66364287006204148</v>
      </c>
      <c r="I91">
        <f>$B$44/I95</f>
        <v>0.85110327829282739</v>
      </c>
      <c r="J91">
        <f>$B$49/J95</f>
        <v>1</v>
      </c>
    </row>
    <row r="92" spans="3:19" ht="23" thickBot="1" x14ac:dyDescent="0.35">
      <c r="C92" s="7" t="s">
        <v>3</v>
      </c>
      <c r="D92" s="9">
        <v>70</v>
      </c>
      <c r="G92" s="25" t="s">
        <v>10</v>
      </c>
    </row>
    <row r="93" spans="3:19" ht="16" customHeight="1" x14ac:dyDescent="0.2">
      <c r="C93" s="10">
        <v>5</v>
      </c>
      <c r="D93" s="11">
        <f>_xlfn.FORECAST.LINEAR(C93,D94:D95,C94:C95)</f>
        <v>25.923698066323031</v>
      </c>
      <c r="G93" s="29"/>
      <c r="H93" s="33">
        <v>5</v>
      </c>
      <c r="I93" s="33">
        <v>17</v>
      </c>
      <c r="J93" s="34">
        <v>47</v>
      </c>
      <c r="M93" s="48" t="s">
        <v>12</v>
      </c>
      <c r="N93" s="8" t="s">
        <v>3</v>
      </c>
      <c r="O93" s="8">
        <v>80</v>
      </c>
      <c r="P93" s="8">
        <v>70</v>
      </c>
      <c r="Q93" s="9">
        <v>40</v>
      </c>
      <c r="S93">
        <f>D95/$D$79</f>
        <v>0.38267295598225648</v>
      </c>
    </row>
    <row r="94" spans="3:19" x14ac:dyDescent="0.2">
      <c r="C94" s="10">
        <v>17</v>
      </c>
      <c r="D94" s="11">
        <v>33.483698066323029</v>
      </c>
      <c r="G94" s="35">
        <v>40</v>
      </c>
      <c r="H94" s="1">
        <f>_xlfn.FORECAST.LINEAR(40,B38:B39,A38:A39)/H91</f>
        <v>0.68475359814627645</v>
      </c>
      <c r="I94" s="1">
        <f>_xlfn.FORECAST.LINEAR(40,B43:B44,A43:A44)/I91</f>
        <v>0.79996480486959409</v>
      </c>
      <c r="J94" s="30">
        <f>_xlfn.FORECAST.LINEAR(40,B48:B49,A48:A49)/J91</f>
        <v>1.1496291757507571</v>
      </c>
      <c r="M94" s="49"/>
      <c r="N94">
        <v>-15</v>
      </c>
      <c r="O94">
        <f>_xlfn.FORECAST.LINEAR(N94,O95:O96,N95:N96)</f>
        <v>7.5310449609705885E-2</v>
      </c>
      <c r="P94">
        <f>_xlfn.FORECAST.LINEAR(N94,P95:P96,N95:N96)</f>
        <v>9.7332168439111452E-2</v>
      </c>
      <c r="Q94" s="11">
        <f>_xlfn.FORECAST.LINEAR(N94,Q95:Q96,N95:N96)</f>
        <v>0.16339732492732786</v>
      </c>
    </row>
    <row r="95" spans="3:19" ht="17" thickBot="1" x14ac:dyDescent="0.25">
      <c r="C95" s="12">
        <v>47</v>
      </c>
      <c r="D95" s="14">
        <v>52.383698066323028</v>
      </c>
      <c r="G95" s="35">
        <v>70</v>
      </c>
      <c r="H95">
        <f>D93/D95</f>
        <v>0.49488102259410977</v>
      </c>
      <c r="I95">
        <f>D94/D95</f>
        <v>0.63920073042436409</v>
      </c>
      <c r="J95">
        <f>D95/D95</f>
        <v>1</v>
      </c>
      <c r="M95" s="49"/>
      <c r="N95">
        <v>17</v>
      </c>
      <c r="O95">
        <f>I96*$S$93</f>
        <v>0.22409814511627293</v>
      </c>
      <c r="P95">
        <f>I95*$S$93</f>
        <v>0.24460483297750887</v>
      </c>
      <c r="Q95" s="11">
        <f>I94*$S$93</f>
        <v>0.30612489656121655</v>
      </c>
    </row>
    <row r="96" spans="3:19" ht="17" thickBot="1" x14ac:dyDescent="0.25">
      <c r="G96" s="36">
        <v>80</v>
      </c>
      <c r="H96" s="31">
        <f>_xlfn.FORECAST.LINEAR(G96,H94:H95,G94:G95)</f>
        <v>0.43159016407672102</v>
      </c>
      <c r="I96" s="31">
        <f>_xlfn.FORECAST.LINEAR(G96,I94:I95,G94:G95)</f>
        <v>0.58561270560928735</v>
      </c>
      <c r="J96" s="32">
        <f>_xlfn.FORECAST.LINEAR(G96,J94:J95,G94:G95)</f>
        <v>0.95012360808308094</v>
      </c>
      <c r="L96" s="19"/>
      <c r="M96" s="50"/>
      <c r="N96" s="13">
        <v>47</v>
      </c>
      <c r="O96" s="13">
        <f>J96*$S$93</f>
        <v>0.36358660965367956</v>
      </c>
      <c r="P96" s="13">
        <f>J95*$S$93</f>
        <v>0.38267295598225648</v>
      </c>
      <c r="Q96" s="14">
        <f>J94*$S$93</f>
        <v>0.43993199496798724</v>
      </c>
    </row>
    <row r="99" spans="1:11" x14ac:dyDescent="0.2">
      <c r="A99" s="23"/>
    </row>
    <row r="100" spans="1:11" x14ac:dyDescent="0.2">
      <c r="A100" s="23"/>
    </row>
    <row r="101" spans="1:11" x14ac:dyDescent="0.2">
      <c r="A101" s="23"/>
    </row>
    <row r="102" spans="1:11" x14ac:dyDescent="0.2">
      <c r="A102" s="23"/>
    </row>
    <row r="103" spans="1:11" ht="16" customHeight="1" x14ac:dyDescent="0.2">
      <c r="A103" s="23"/>
    </row>
    <row r="104" spans="1:11" ht="16" customHeight="1" x14ac:dyDescent="0.2"/>
    <row r="107" spans="1:11" x14ac:dyDescent="0.2">
      <c r="H107" s="20"/>
      <c r="K107" s="21"/>
    </row>
    <row r="116" spans="8:11" ht="16" customHeight="1" x14ac:dyDescent="0.2"/>
    <row r="117" spans="8:11" ht="16" customHeight="1" x14ac:dyDescent="0.2"/>
    <row r="120" spans="8:11" x14ac:dyDescent="0.2">
      <c r="H120" s="20"/>
      <c r="K120" s="21"/>
    </row>
  </sheetData>
  <mergeCells count="16">
    <mergeCell ref="A36:B37"/>
    <mergeCell ref="A2:L4"/>
    <mergeCell ref="A21:Q23"/>
    <mergeCell ref="A24:Q26"/>
    <mergeCell ref="H30:O30"/>
    <mergeCell ref="A31:B32"/>
    <mergeCell ref="M76:M80"/>
    <mergeCell ref="M84:M87"/>
    <mergeCell ref="M93:M96"/>
    <mergeCell ref="A41:B42"/>
    <mergeCell ref="H42:O42"/>
    <mergeCell ref="A46:B47"/>
    <mergeCell ref="A54:Q65"/>
    <mergeCell ref="M68:M71"/>
    <mergeCell ref="A70:B71"/>
    <mergeCell ref="E70:E7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61DF-C47C-294D-997D-68E09A57C2E5}">
  <dimension ref="A2:U120"/>
  <sheetViews>
    <sheetView tabSelected="1" zoomScaleNormal="25" workbookViewId="0">
      <selection activeCell="S8" sqref="S8"/>
    </sheetView>
  </sheetViews>
  <sheetFormatPr baseColWidth="10" defaultRowHeight="16" x14ac:dyDescent="0.2"/>
  <cols>
    <col min="5" max="5" width="12.5" customWidth="1"/>
    <col min="7" max="7" width="30.5" bestFit="1" customWidth="1"/>
    <col min="8" max="8" width="12.1640625" bestFit="1" customWidth="1"/>
    <col min="15" max="15" width="15.6640625" customWidth="1"/>
    <col min="16" max="17" width="26.1640625" customWidth="1"/>
    <col min="18" max="18" width="18.5" customWidth="1"/>
    <col min="19" max="19" width="12.1640625" bestFit="1" customWidth="1"/>
  </cols>
  <sheetData>
    <row r="2" spans="1:21" x14ac:dyDescent="0.2">
      <c r="A2" s="59" t="s">
        <v>48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21" x14ac:dyDescent="0.2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21" x14ac:dyDescent="0.2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6" spans="1:21" x14ac:dyDescent="0.2">
      <c r="A6" t="s">
        <v>13</v>
      </c>
      <c r="B6" t="s">
        <v>14</v>
      </c>
      <c r="C6" t="s">
        <v>13</v>
      </c>
      <c r="D6" t="s">
        <v>4</v>
      </c>
      <c r="E6" t="s">
        <v>15</v>
      </c>
      <c r="F6" s="24" t="s">
        <v>52</v>
      </c>
      <c r="G6" t="s">
        <v>53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54</v>
      </c>
      <c r="N6" t="s">
        <v>22</v>
      </c>
      <c r="O6" t="s">
        <v>23</v>
      </c>
      <c r="P6" t="s">
        <v>24</v>
      </c>
      <c r="S6" t="s">
        <v>25</v>
      </c>
      <c r="T6" t="s">
        <v>26</v>
      </c>
      <c r="U6" t="s">
        <v>27</v>
      </c>
    </row>
    <row r="7" spans="1:21" x14ac:dyDescent="0.2">
      <c r="A7" t="s">
        <v>55</v>
      </c>
      <c r="B7" t="s">
        <v>56</v>
      </c>
      <c r="C7" t="s">
        <v>55</v>
      </c>
      <c r="D7" t="s">
        <v>57</v>
      </c>
      <c r="E7" t="s">
        <v>55</v>
      </c>
      <c r="F7" s="24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21</v>
      </c>
      <c r="N7" t="s">
        <v>59</v>
      </c>
      <c r="O7" t="s">
        <v>56</v>
      </c>
    </row>
    <row r="8" spans="1:21" x14ac:dyDescent="0.2">
      <c r="A8" t="s">
        <v>28</v>
      </c>
      <c r="B8">
        <v>47</v>
      </c>
      <c r="C8" t="s">
        <v>29</v>
      </c>
      <c r="D8">
        <v>124485.00000022772</v>
      </c>
      <c r="E8">
        <v>2.5550000000000002</v>
      </c>
      <c r="F8" s="24">
        <v>14279.216172745391</v>
      </c>
      <c r="G8">
        <v>14279.216172745391</v>
      </c>
      <c r="H8">
        <v>11762.216172745391</v>
      </c>
      <c r="I8">
        <v>500</v>
      </c>
      <c r="J8">
        <v>1967</v>
      </c>
      <c r="K8">
        <v>50</v>
      </c>
      <c r="M8">
        <v>3000</v>
      </c>
      <c r="N8">
        <v>0.85</v>
      </c>
      <c r="O8">
        <v>108.42129629636659</v>
      </c>
      <c r="P8">
        <v>117773.596000228</v>
      </c>
      <c r="Q8">
        <v>117.77359600022801</v>
      </c>
      <c r="S8">
        <v>12312.216172745391</v>
      </c>
      <c r="T8">
        <v>0.35669524416428655</v>
      </c>
      <c r="U8">
        <v>2.8035136895164783</v>
      </c>
    </row>
    <row r="9" spans="1:21" x14ac:dyDescent="0.2">
      <c r="A9" t="s">
        <v>30</v>
      </c>
      <c r="B9">
        <v>47</v>
      </c>
      <c r="C9" t="s">
        <v>60</v>
      </c>
      <c r="D9">
        <v>89999.700000227705</v>
      </c>
      <c r="E9">
        <v>3.2800000000000002</v>
      </c>
      <c r="F9" s="24">
        <v>8041.6555572517473</v>
      </c>
      <c r="G9">
        <v>8041.6555572517482</v>
      </c>
      <c r="H9">
        <v>6917.790504798988</v>
      </c>
      <c r="I9">
        <v>261.3473378528995</v>
      </c>
      <c r="J9">
        <v>812.51771459986037</v>
      </c>
      <c r="K9">
        <v>50</v>
      </c>
      <c r="M9">
        <v>2168.9287866023151</v>
      </c>
      <c r="N9">
        <v>0.44429047434992913</v>
      </c>
      <c r="O9">
        <v>108.42129629636659</v>
      </c>
      <c r="P9">
        <v>87227.389558012976</v>
      </c>
      <c r="Q9">
        <v>87.227389558012973</v>
      </c>
      <c r="S9">
        <v>7229.1378426518868</v>
      </c>
      <c r="T9">
        <v>0.28277606889431856</v>
      </c>
      <c r="U9">
        <v>3.5363671470152886</v>
      </c>
    </row>
    <row r="10" spans="1:21" x14ac:dyDescent="0.2">
      <c r="A10" t="s">
        <v>32</v>
      </c>
      <c r="B10">
        <v>47</v>
      </c>
      <c r="C10" t="s">
        <v>60</v>
      </c>
      <c r="D10">
        <v>63285.000000227701</v>
      </c>
      <c r="E10">
        <v>3.6450000000000005</v>
      </c>
      <c r="F10" s="24">
        <v>5088.403012150271</v>
      </c>
      <c r="G10">
        <v>5088.4030121502701</v>
      </c>
      <c r="H10">
        <v>4598.0242370827609</v>
      </c>
      <c r="I10">
        <v>129.22231762638648</v>
      </c>
      <c r="J10">
        <v>311.15645744112351</v>
      </c>
      <c r="K10">
        <v>50</v>
      </c>
      <c r="M10">
        <v>1525.1235088591861</v>
      </c>
      <c r="N10">
        <v>0.21967793996485699</v>
      </c>
      <c r="O10">
        <v>108.42129629636659</v>
      </c>
      <c r="P10">
        <v>62223.334167438588</v>
      </c>
      <c r="Q10">
        <v>62.223334167438587</v>
      </c>
      <c r="S10">
        <v>4777.2465547091479</v>
      </c>
      <c r="T10">
        <v>0.26195904579471035</v>
      </c>
      <c r="U10">
        <v>3.8173906038109133</v>
      </c>
    </row>
    <row r="11" spans="1:21" x14ac:dyDescent="0.2">
      <c r="A11" t="s">
        <v>33</v>
      </c>
      <c r="B11">
        <v>17</v>
      </c>
      <c r="C11" t="s">
        <v>60</v>
      </c>
      <c r="D11">
        <v>89835.000000082364</v>
      </c>
      <c r="E11">
        <v>2.105</v>
      </c>
      <c r="F11" s="24">
        <v>12507.534837780728</v>
      </c>
      <c r="G11">
        <v>12507.534837780728</v>
      </c>
      <c r="H11">
        <v>9990.5348377807277</v>
      </c>
      <c r="I11">
        <v>500</v>
      </c>
      <c r="J11">
        <v>1967</v>
      </c>
      <c r="K11">
        <v>50</v>
      </c>
      <c r="M11">
        <v>3000</v>
      </c>
      <c r="N11">
        <v>0.85</v>
      </c>
      <c r="O11">
        <v>97.726851851877271</v>
      </c>
      <c r="P11">
        <v>83123.596000082369</v>
      </c>
      <c r="Q11">
        <v>83.123596000082372</v>
      </c>
      <c r="S11">
        <v>10540.534837780728</v>
      </c>
      <c r="T11">
        <v>0.43266059936184914</v>
      </c>
      <c r="U11">
        <v>2.3112804851538264</v>
      </c>
    </row>
    <row r="12" spans="1:21" x14ac:dyDescent="0.2">
      <c r="A12" t="s">
        <v>34</v>
      </c>
      <c r="B12">
        <v>17</v>
      </c>
      <c r="C12" t="s">
        <v>60</v>
      </c>
      <c r="D12">
        <v>55349.700000082361</v>
      </c>
      <c r="E12">
        <v>2.38</v>
      </c>
      <c r="F12" s="24">
        <v>6815.7956890544947</v>
      </c>
      <c r="G12">
        <v>6815.7956890544947</v>
      </c>
      <c r="H12">
        <v>5748.477974454634</v>
      </c>
      <c r="I12">
        <v>204.8</v>
      </c>
      <c r="J12">
        <v>812.51771459986037</v>
      </c>
      <c r="K12">
        <v>50</v>
      </c>
      <c r="M12">
        <v>2168.9287866023151</v>
      </c>
      <c r="N12">
        <v>0.44429047434992913</v>
      </c>
      <c r="O12">
        <v>93.629047914746224</v>
      </c>
      <c r="P12">
        <v>52577.389557867638</v>
      </c>
      <c r="Q12">
        <v>52.57738955786764</v>
      </c>
      <c r="S12">
        <v>6003.2779744546342</v>
      </c>
      <c r="T12">
        <v>0.38958161713782014</v>
      </c>
      <c r="U12">
        <v>2.566856227321002</v>
      </c>
    </row>
    <row r="13" spans="1:21" x14ac:dyDescent="0.2">
      <c r="A13" t="s">
        <v>35</v>
      </c>
      <c r="B13">
        <v>17</v>
      </c>
      <c r="C13" t="s">
        <v>60</v>
      </c>
      <c r="D13">
        <v>28635.000000082357</v>
      </c>
      <c r="E13">
        <v>2.5950000000000002</v>
      </c>
      <c r="F13" s="24">
        <v>3233.985545838806</v>
      </c>
      <c r="G13">
        <v>3233.985545838806</v>
      </c>
      <c r="H13">
        <v>2803.1401995087936</v>
      </c>
      <c r="I13">
        <v>69.688888888888897</v>
      </c>
      <c r="J13">
        <v>311.15645744112351</v>
      </c>
      <c r="K13">
        <v>50</v>
      </c>
      <c r="M13">
        <v>1525.1235088591861</v>
      </c>
      <c r="N13">
        <v>0.21967793996485699</v>
      </c>
      <c r="O13">
        <v>87.384748667862254</v>
      </c>
      <c r="P13">
        <v>27573.334167293244</v>
      </c>
      <c r="Q13">
        <v>27.573334167293243</v>
      </c>
      <c r="S13">
        <v>2922.8290883976824</v>
      </c>
      <c r="T13">
        <v>0.361678888345764</v>
      </c>
      <c r="U13">
        <v>2.7648835257533828</v>
      </c>
    </row>
    <row r="14" spans="1:21" x14ac:dyDescent="0.2">
      <c r="A14" t="s">
        <v>36</v>
      </c>
      <c r="B14">
        <v>17</v>
      </c>
      <c r="C14" t="s">
        <v>60</v>
      </c>
      <c r="D14">
        <v>100635.00000008236</v>
      </c>
      <c r="E14">
        <v>1.93811</v>
      </c>
      <c r="F14" s="24">
        <v>15217.695080022275</v>
      </c>
      <c r="G14">
        <v>15217.695080022275</v>
      </c>
      <c r="H14">
        <v>12200.023068267847</v>
      </c>
      <c r="I14">
        <v>500</v>
      </c>
      <c r="J14">
        <v>2467.6720117544282</v>
      </c>
      <c r="K14">
        <v>50</v>
      </c>
      <c r="M14">
        <v>3260.2723219660256</v>
      </c>
      <c r="N14">
        <v>0.85</v>
      </c>
      <c r="O14">
        <v>98.580605039594246</v>
      </c>
      <c r="P14">
        <v>92215.303095976255</v>
      </c>
      <c r="Q14">
        <v>92.215303095976253</v>
      </c>
      <c r="S14">
        <v>12750.023068267847</v>
      </c>
      <c r="T14">
        <v>0.47175552482490418</v>
      </c>
      <c r="U14">
        <v>2.1197420006287322</v>
      </c>
    </row>
    <row r="15" spans="1:21" x14ac:dyDescent="0.2">
      <c r="A15" t="s">
        <v>37</v>
      </c>
      <c r="B15">
        <v>5</v>
      </c>
      <c r="C15" t="s">
        <v>60</v>
      </c>
      <c r="D15" s="24">
        <v>75975.000000024229</v>
      </c>
      <c r="E15">
        <v>1.925</v>
      </c>
      <c r="F15" s="24">
        <v>11566.933110854035</v>
      </c>
      <c r="G15">
        <v>11566.933110854035</v>
      </c>
      <c r="H15">
        <v>9049.9331108540355</v>
      </c>
      <c r="I15">
        <v>500</v>
      </c>
      <c r="J15">
        <v>1967</v>
      </c>
      <c r="K15">
        <v>50</v>
      </c>
      <c r="M15">
        <v>3000</v>
      </c>
      <c r="N15">
        <v>0.85</v>
      </c>
      <c r="O15">
        <v>93.449074074081551</v>
      </c>
      <c r="P15">
        <v>69263.596000024234</v>
      </c>
      <c r="Q15">
        <v>69.263596000024236</v>
      </c>
      <c r="S15">
        <v>9599.9331108540355</v>
      </c>
      <c r="T15">
        <v>0.4729031362192414</v>
      </c>
      <c r="U15">
        <v>2.1145979449296624</v>
      </c>
    </row>
    <row r="16" spans="1:21" x14ac:dyDescent="0.2">
      <c r="A16" t="s">
        <v>38</v>
      </c>
      <c r="B16">
        <v>5</v>
      </c>
      <c r="C16" t="s">
        <v>60</v>
      </c>
      <c r="D16">
        <v>86775.000000024229</v>
      </c>
      <c r="E16">
        <v>1.7841499999999999</v>
      </c>
      <c r="F16">
        <v>14254.155993838836</v>
      </c>
      <c r="G16">
        <v>14254.155993838836</v>
      </c>
      <c r="H16">
        <v>11236.483982084408</v>
      </c>
      <c r="I16">
        <v>500</v>
      </c>
      <c r="J16">
        <v>2467.6720117544282</v>
      </c>
      <c r="K16">
        <v>50</v>
      </c>
      <c r="M16">
        <v>3260.2723219660256</v>
      </c>
      <c r="N16">
        <v>0.85</v>
      </c>
      <c r="O16">
        <v>94.644328536885311</v>
      </c>
      <c r="P16">
        <v>78355.30309591812</v>
      </c>
      <c r="Q16">
        <v>78.355303095918117</v>
      </c>
      <c r="S16">
        <v>11786.483982084408</v>
      </c>
      <c r="T16">
        <v>0.51324520176563526</v>
      </c>
      <c r="U16">
        <v>1.9483864565316151</v>
      </c>
    </row>
    <row r="21" spans="1:18" ht="16" customHeight="1" x14ac:dyDescent="0.2">
      <c r="A21" s="60" t="s">
        <v>49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spans="1:18" ht="16" customHeight="1" x14ac:dyDescent="0.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</row>
    <row r="23" spans="1:18" ht="16" customHeight="1" x14ac:dyDescent="0.2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</row>
    <row r="24" spans="1:18" x14ac:dyDescent="0.2">
      <c r="A24" s="60" t="s">
        <v>50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</row>
    <row r="25" spans="1:18" x14ac:dyDescent="0.2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</row>
    <row r="26" spans="1:18" x14ac:dyDescent="0.2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9" spans="1:18" ht="17" thickBot="1" x14ac:dyDescent="0.25"/>
    <row r="30" spans="1:18" ht="17" thickBot="1" x14ac:dyDescent="0.25">
      <c r="G30" s="4" t="s">
        <v>0</v>
      </c>
      <c r="H30" s="53" t="s">
        <v>1</v>
      </c>
      <c r="I30" s="54"/>
      <c r="J30" s="54"/>
      <c r="K30" s="54"/>
      <c r="L30" s="54"/>
      <c r="M30" s="54"/>
      <c r="N30" s="54"/>
      <c r="O30" s="55"/>
    </row>
    <row r="31" spans="1:18" ht="17" thickBot="1" x14ac:dyDescent="0.25">
      <c r="A31" s="51" t="s">
        <v>40</v>
      </c>
      <c r="B31" s="51"/>
      <c r="G31" s="6"/>
      <c r="H31" s="5">
        <v>70</v>
      </c>
      <c r="I31" s="2">
        <v>55</v>
      </c>
      <c r="J31" s="2">
        <v>48</v>
      </c>
      <c r="K31" s="2">
        <v>47</v>
      </c>
      <c r="L31" s="2">
        <v>43</v>
      </c>
      <c r="M31" s="2">
        <v>42</v>
      </c>
      <c r="N31" s="2">
        <v>41</v>
      </c>
      <c r="O31" s="3">
        <v>40</v>
      </c>
    </row>
    <row r="32" spans="1:18" ht="17" thickBot="1" x14ac:dyDescent="0.25">
      <c r="A32" s="51"/>
      <c r="B32" s="51"/>
      <c r="G32" s="15">
        <v>-2.6542817457305716</v>
      </c>
      <c r="H32" s="7">
        <v>26.128226039080531</v>
      </c>
      <c r="I32" s="8"/>
      <c r="J32" s="8"/>
      <c r="K32" s="8"/>
      <c r="L32" s="8"/>
      <c r="M32" s="8"/>
      <c r="N32" s="8"/>
      <c r="O32" s="9"/>
    </row>
    <row r="33" spans="1:19" ht="17" thickBot="1" x14ac:dyDescent="0.25">
      <c r="A33" s="39">
        <v>-2.6542817457305716</v>
      </c>
      <c r="B33" s="6">
        <f>H44</f>
        <v>0.30288710398763935</v>
      </c>
      <c r="G33" s="15">
        <v>0</v>
      </c>
      <c r="H33" s="10"/>
      <c r="I33">
        <v>35.9</v>
      </c>
      <c r="L33">
        <v>38.114077191036415</v>
      </c>
      <c r="O33" s="11"/>
    </row>
    <row r="34" spans="1:19" ht="17" thickBot="1" x14ac:dyDescent="0.25">
      <c r="A34" s="16">
        <v>2.4791191646191955</v>
      </c>
      <c r="B34" s="4">
        <f>H46</f>
        <v>0.35227616047735877</v>
      </c>
      <c r="C34" t="s">
        <v>42</v>
      </c>
      <c r="G34" s="15">
        <v>2.4791191646191955</v>
      </c>
      <c r="H34" s="10">
        <v>30.388719189270802</v>
      </c>
      <c r="O34" s="11"/>
    </row>
    <row r="35" spans="1:19" x14ac:dyDescent="0.2">
      <c r="G35" s="15">
        <v>17.113117392753022</v>
      </c>
      <c r="H35" s="10">
        <v>46.929796141700912</v>
      </c>
      <c r="I35">
        <v>54.296069424083967</v>
      </c>
      <c r="K35">
        <v>56.646213015892826</v>
      </c>
      <c r="N35">
        <v>58.339573048595739</v>
      </c>
      <c r="O35" s="11"/>
    </row>
    <row r="36" spans="1:19" x14ac:dyDescent="0.2">
      <c r="A36" s="51" t="s">
        <v>41</v>
      </c>
      <c r="B36" s="51"/>
      <c r="G36" s="15">
        <v>36.013495910149757</v>
      </c>
      <c r="H36" s="10">
        <v>73.594445506004391</v>
      </c>
      <c r="I36">
        <v>78.541820939414876</v>
      </c>
      <c r="O36" s="11">
        <v>83.183152280853008</v>
      </c>
    </row>
    <row r="37" spans="1:19" ht="17" thickBot="1" x14ac:dyDescent="0.25">
      <c r="A37" s="51"/>
      <c r="B37" s="51"/>
      <c r="G37" s="15">
        <v>40.179596000000018</v>
      </c>
      <c r="H37" s="10">
        <v>77.270001471521198</v>
      </c>
      <c r="I37">
        <v>82.674379764101531</v>
      </c>
      <c r="J37">
        <v>86.284854063726257</v>
      </c>
      <c r="O37" s="11">
        <v>90.610975328829198</v>
      </c>
    </row>
    <row r="38" spans="1:19" ht="17" thickBot="1" x14ac:dyDescent="0.25">
      <c r="A38" s="40">
        <v>43</v>
      </c>
      <c r="B38" s="6">
        <f>L45</f>
        <v>0.44183108506055357</v>
      </c>
      <c r="G38" s="15">
        <v>46.885640371752189</v>
      </c>
      <c r="H38" s="22">
        <v>86.263910529391282</v>
      </c>
      <c r="I38">
        <v>92.409359715280061</v>
      </c>
      <c r="L38">
        <v>97.880748576676879</v>
      </c>
      <c r="O38" s="11"/>
    </row>
    <row r="39" spans="1:19" ht="17" thickBot="1" x14ac:dyDescent="0.25">
      <c r="A39" s="40">
        <v>70</v>
      </c>
      <c r="B39" s="4">
        <f>H45</f>
        <v>0.32842426217359255</v>
      </c>
      <c r="C39" t="s">
        <v>42</v>
      </c>
      <c r="G39" s="16">
        <v>60.011248993187053</v>
      </c>
      <c r="H39" s="12">
        <v>102.4744247741889</v>
      </c>
      <c r="I39" s="13">
        <v>108.53336871363203</v>
      </c>
      <c r="J39" s="13"/>
      <c r="K39" s="13"/>
      <c r="L39" s="13"/>
      <c r="M39" s="13">
        <v>117.20998736952691</v>
      </c>
      <c r="N39" s="13"/>
      <c r="O39" s="14"/>
    </row>
    <row r="41" spans="1:19" ht="17" thickBot="1" x14ac:dyDescent="0.25">
      <c r="A41" s="51" t="s">
        <v>43</v>
      </c>
      <c r="B41" s="51"/>
    </row>
    <row r="42" spans="1:19" ht="17" customHeight="1" thickBot="1" x14ac:dyDescent="0.25">
      <c r="A42" s="52"/>
      <c r="B42" s="52"/>
      <c r="G42" s="4" t="s">
        <v>0</v>
      </c>
      <c r="H42" s="53" t="s">
        <v>1</v>
      </c>
      <c r="I42" s="54"/>
      <c r="J42" s="54"/>
      <c r="K42" s="54"/>
      <c r="L42" s="54"/>
      <c r="M42" s="54"/>
      <c r="N42" s="54"/>
      <c r="O42" s="55"/>
    </row>
    <row r="43" spans="1:19" ht="17" thickBot="1" x14ac:dyDescent="0.25">
      <c r="A43" s="40">
        <v>41</v>
      </c>
      <c r="B43" s="6">
        <f>N47</f>
        <v>0.67629177358365855</v>
      </c>
      <c r="G43" s="6"/>
      <c r="H43" s="5">
        <v>70</v>
      </c>
      <c r="I43" s="2">
        <v>55</v>
      </c>
      <c r="J43" s="2">
        <v>48</v>
      </c>
      <c r="K43" s="2">
        <v>47</v>
      </c>
      <c r="L43" s="2">
        <v>43</v>
      </c>
      <c r="M43" s="2">
        <v>42</v>
      </c>
      <c r="N43" s="2">
        <v>41</v>
      </c>
      <c r="O43" s="3">
        <v>40</v>
      </c>
      <c r="P43" t="s">
        <v>5</v>
      </c>
    </row>
    <row r="44" spans="1:19" ht="17" thickBot="1" x14ac:dyDescent="0.25">
      <c r="A44" s="40">
        <v>70</v>
      </c>
      <c r="B44" s="4">
        <f>H47</f>
        <v>0.54402583715134611</v>
      </c>
      <c r="C44" t="s">
        <v>45</v>
      </c>
      <c r="G44" s="15">
        <v>-2.6542817457305716</v>
      </c>
      <c r="H44" s="7">
        <f>H32/$R$44</f>
        <v>0.30288710398763935</v>
      </c>
      <c r="I44" s="7"/>
      <c r="J44" s="7"/>
      <c r="K44" s="7"/>
      <c r="L44" s="7"/>
      <c r="M44" s="7"/>
      <c r="N44" s="7"/>
      <c r="O44" s="6"/>
      <c r="P44" t="s">
        <v>6</v>
      </c>
      <c r="R44" s="18">
        <v>86.263910530000004</v>
      </c>
    </row>
    <row r="45" spans="1:19" ht="17" thickBot="1" x14ac:dyDescent="0.25">
      <c r="G45" s="15">
        <v>0</v>
      </c>
      <c r="H45" s="27">
        <f>_xlfn.FORECAST.LINEAR(0,B33:B34,A33:A34)</f>
        <v>0.32842426217359255</v>
      </c>
      <c r="I45" s="27">
        <f>I33/$R$44</f>
        <v>0.41616476437750932</v>
      </c>
      <c r="J45" s="27"/>
      <c r="K45" s="27"/>
      <c r="L45" s="27">
        <f>L33/$R$44</f>
        <v>0.44183108506055357</v>
      </c>
      <c r="M45" s="27"/>
      <c r="N45" s="27"/>
      <c r="O45" s="37"/>
      <c r="S45" s="17"/>
    </row>
    <row r="46" spans="1:19" ht="17" thickBot="1" x14ac:dyDescent="0.25">
      <c r="A46" s="51" t="s">
        <v>47</v>
      </c>
      <c r="B46" s="51"/>
      <c r="G46" s="15">
        <v>2.4791191646191955</v>
      </c>
      <c r="H46" s="7">
        <f t="shared" ref="H46:O51" si="0">H34/$R$44</f>
        <v>0.35227616047735877</v>
      </c>
      <c r="I46" s="7"/>
      <c r="J46" s="7"/>
      <c r="K46" s="7"/>
      <c r="L46" s="7"/>
      <c r="M46" s="7"/>
      <c r="N46" s="7"/>
      <c r="O46" s="6"/>
    </row>
    <row r="47" spans="1:19" ht="17" thickBot="1" x14ac:dyDescent="0.25">
      <c r="A47" s="52"/>
      <c r="B47" s="52"/>
      <c r="G47" s="15">
        <v>17.113117392753022</v>
      </c>
      <c r="H47" s="28">
        <f>H35/$H$38</f>
        <v>0.54402583715134611</v>
      </c>
      <c r="I47" s="28">
        <f t="shared" si="0"/>
        <v>0.6294181319916099</v>
      </c>
      <c r="J47" s="28"/>
      <c r="K47" s="28">
        <f t="shared" si="0"/>
        <v>0.65666177973919893</v>
      </c>
      <c r="L47" s="28"/>
      <c r="M47" s="28"/>
      <c r="N47" s="28">
        <f t="shared" si="0"/>
        <v>0.67629177358365855</v>
      </c>
      <c r="O47" s="38"/>
    </row>
    <row r="48" spans="1:19" ht="17" thickBot="1" x14ac:dyDescent="0.25">
      <c r="A48" s="40">
        <v>43</v>
      </c>
      <c r="B48" s="6">
        <f>L50</f>
        <v>1.1346662581756815</v>
      </c>
      <c r="G48" s="15">
        <v>36.013495910149757</v>
      </c>
      <c r="H48" s="7">
        <f t="shared" si="0"/>
        <v>0.85313133909470107</v>
      </c>
      <c r="I48" s="7">
        <f t="shared" si="0"/>
        <v>0.91048296392847139</v>
      </c>
      <c r="J48" s="7"/>
      <c r="K48" s="7"/>
      <c r="L48" s="7"/>
      <c r="M48" s="7"/>
      <c r="N48" s="7"/>
      <c r="O48" s="6">
        <f t="shared" si="0"/>
        <v>0.96428682365291563</v>
      </c>
    </row>
    <row r="49" spans="1:18" ht="17" thickBot="1" x14ac:dyDescent="0.25">
      <c r="A49" s="40">
        <v>70</v>
      </c>
      <c r="B49" s="4">
        <f>H50</f>
        <v>0.99999999999294353</v>
      </c>
      <c r="C49" t="s">
        <v>46</v>
      </c>
      <c r="G49" s="15">
        <v>40.179596000000018</v>
      </c>
      <c r="H49" s="7">
        <f t="shared" si="0"/>
        <v>0.89573960879792258</v>
      </c>
      <c r="I49" s="7">
        <f t="shared" si="0"/>
        <v>0.95838896308033539</v>
      </c>
      <c r="J49" s="7">
        <f t="shared" si="0"/>
        <v>1.0002427844227972</v>
      </c>
      <c r="K49" s="7"/>
      <c r="L49" s="7"/>
      <c r="M49" s="7"/>
      <c r="N49" s="7"/>
      <c r="O49" s="6">
        <f t="shared" si="0"/>
        <v>1.0503926238924377</v>
      </c>
    </row>
    <row r="50" spans="1:18" ht="17" thickBot="1" x14ac:dyDescent="0.25">
      <c r="G50" s="15">
        <v>46.885640371752189</v>
      </c>
      <c r="H50" s="7">
        <f>H38/$R$44</f>
        <v>0.99999999999294353</v>
      </c>
      <c r="I50" s="7">
        <f t="shared" si="0"/>
        <v>1.0712400950469647</v>
      </c>
      <c r="J50" s="7"/>
      <c r="K50" s="7"/>
      <c r="L50" s="7">
        <f t="shared" si="0"/>
        <v>1.1346662581756815</v>
      </c>
      <c r="M50" s="7"/>
      <c r="N50" s="7"/>
      <c r="O50" s="6"/>
    </row>
    <row r="51" spans="1:18" ht="17" thickBot="1" x14ac:dyDescent="0.25">
      <c r="G51" s="16">
        <v>60.011248993187053</v>
      </c>
      <c r="H51" s="26">
        <f t="shared" si="0"/>
        <v>1.1879176835897252</v>
      </c>
      <c r="I51" s="26">
        <f t="shared" si="0"/>
        <v>1.2581549809973822</v>
      </c>
      <c r="J51" s="26"/>
      <c r="K51" s="26"/>
      <c r="L51" s="26"/>
      <c r="M51" s="26">
        <f t="shared" si="0"/>
        <v>1.3587372361094712</v>
      </c>
      <c r="N51" s="26"/>
      <c r="O51" s="4"/>
    </row>
    <row r="52" spans="1:18" x14ac:dyDescent="0.2">
      <c r="G52" s="41"/>
    </row>
    <row r="53" spans="1:18" x14ac:dyDescent="0.2">
      <c r="G53" s="41"/>
    </row>
    <row r="54" spans="1:18" ht="16" customHeight="1" x14ac:dyDescent="0.2">
      <c r="A54" s="56" t="s">
        <v>51</v>
      </c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</row>
    <row r="55" spans="1:18" ht="16" customHeight="1" x14ac:dyDescent="0.2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</row>
    <row r="56" spans="1:18" ht="16" customHeight="1" x14ac:dyDescent="0.2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</row>
    <row r="57" spans="1:18" ht="16" customHeight="1" x14ac:dyDescent="0.2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</row>
    <row r="58" spans="1:18" ht="16" customHeight="1" x14ac:dyDescent="0.2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</row>
    <row r="59" spans="1:18" ht="16" customHeight="1" x14ac:dyDescent="0.2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</row>
    <row r="60" spans="1:18" ht="16" customHeight="1" x14ac:dyDescent="0.2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</row>
    <row r="61" spans="1:18" ht="16" customHeight="1" x14ac:dyDescent="0.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</row>
    <row r="62" spans="1:18" ht="16" customHeight="1" x14ac:dyDescent="0.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</row>
    <row r="63" spans="1:18" x14ac:dyDescent="0.2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</row>
    <row r="64" spans="1:18" x14ac:dyDescent="0.2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</row>
    <row r="65" spans="1:19" x14ac:dyDescent="0.2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</row>
    <row r="66" spans="1:19" ht="17" thickBot="1" x14ac:dyDescent="0.25"/>
    <row r="67" spans="1:19" ht="17" thickBot="1" x14ac:dyDescent="0.25">
      <c r="C67" s="7" t="s">
        <v>3</v>
      </c>
      <c r="D67" s="9">
        <v>70</v>
      </c>
      <c r="G67" t="s">
        <v>44</v>
      </c>
      <c r="H67">
        <f>$B$39/H71</f>
        <v>0.53175269469340447</v>
      </c>
      <c r="I67">
        <f>$B$44/I71</f>
        <v>0.74844413459763781</v>
      </c>
      <c r="J67">
        <f>$B$49/J71</f>
        <v>0.99999999999294353</v>
      </c>
      <c r="S67" t="s">
        <v>11</v>
      </c>
    </row>
    <row r="68" spans="1:19" ht="23" customHeight="1" thickBot="1" x14ac:dyDescent="0.35">
      <c r="C68" s="10">
        <v>5</v>
      </c>
      <c r="D68" s="11">
        <f>Q16</f>
        <v>78.355303095918117</v>
      </c>
      <c r="G68" s="25" t="s">
        <v>2</v>
      </c>
      <c r="M68" s="48" t="s">
        <v>12</v>
      </c>
      <c r="N68" s="8" t="s">
        <v>3</v>
      </c>
      <c r="O68" s="8">
        <v>80</v>
      </c>
      <c r="P68" s="8">
        <v>70</v>
      </c>
      <c r="Q68" s="9">
        <v>40</v>
      </c>
    </row>
    <row r="69" spans="1:19" x14ac:dyDescent="0.2">
      <c r="C69" s="10">
        <v>17</v>
      </c>
      <c r="D69" s="11">
        <f>Q14</f>
        <v>92.215303095976253</v>
      </c>
      <c r="G69" s="29"/>
      <c r="H69" s="33">
        <v>5</v>
      </c>
      <c r="I69" s="33">
        <v>17</v>
      </c>
      <c r="J69" s="34">
        <v>47</v>
      </c>
      <c r="M69" s="49"/>
      <c r="N69">
        <v>-15</v>
      </c>
      <c r="O69">
        <f>_xlfn.FORECAST.LINEAR(N69,O70:O71,N70:N71)</f>
        <v>0.35167240833584534</v>
      </c>
      <c r="P69">
        <f>_xlfn.FORECAST.LINEAR(N69,P70:P71,N70:N71)</f>
        <v>0.46916545789868086</v>
      </c>
      <c r="Q69" s="11">
        <f>_xlfn.FORECAST.LINEAR(N69,Q70:Q71,N70:N71)</f>
        <v>0.82164460658718907</v>
      </c>
    </row>
    <row r="70" spans="1:19" ht="16" customHeight="1" thickBot="1" x14ac:dyDescent="0.25">
      <c r="A70" s="57" t="s">
        <v>39</v>
      </c>
      <c r="B70" s="57"/>
      <c r="C70" s="12">
        <v>47</v>
      </c>
      <c r="D70" s="14">
        <f>_xlfn.FORECAST.LINEAR(47, D68:D69,C68:C69)</f>
        <v>126.86530309612159</v>
      </c>
      <c r="E70" s="58" t="s">
        <v>7</v>
      </c>
      <c r="G70" s="35">
        <v>40</v>
      </c>
      <c r="H70" s="1">
        <f>_xlfn.FORECAST.LINEAR(40,B38:B39,A38:A39)/H67</f>
        <v>0.85459245941596795</v>
      </c>
      <c r="I70" s="1">
        <f>_xlfn.FORECAST.LINEAR(40,B43:B44,A43:A44)/I67</f>
        <v>0.90969069897169896</v>
      </c>
      <c r="J70" s="30">
        <f>_xlfn.FORECAST.LINEAR(40,B48:B49,A48:A49)/J67</f>
        <v>1.1496291757596537</v>
      </c>
      <c r="M70" s="49"/>
      <c r="N70">
        <v>5</v>
      </c>
      <c r="O70">
        <f>H72*$S$70</f>
        <v>0.58021800006799729</v>
      </c>
      <c r="P70">
        <f>H71*$S$70</f>
        <v>0.66530449741694586</v>
      </c>
      <c r="Q70" s="11">
        <f>H70*$S$70</f>
        <v>0.92056398946379181</v>
      </c>
      <c r="S70">
        <f>D70/$D$79</f>
        <v>1.0771964804053022</v>
      </c>
    </row>
    <row r="71" spans="1:19" ht="17" thickBot="1" x14ac:dyDescent="0.25">
      <c r="A71" s="57"/>
      <c r="B71" s="57"/>
      <c r="E71" s="58"/>
      <c r="G71" s="35">
        <v>70</v>
      </c>
      <c r="H71" s="1">
        <f>D68/D70</f>
        <v>0.61762594802261206</v>
      </c>
      <c r="I71" s="1">
        <f>D69/D70</f>
        <v>0.72687567715900858</v>
      </c>
      <c r="J71" s="46">
        <f>D70/D70</f>
        <v>1</v>
      </c>
      <c r="M71" s="50"/>
      <c r="N71" s="13">
        <v>17</v>
      </c>
      <c r="O71" s="13">
        <f>I72*$S$70</f>
        <v>0.71734535510728847</v>
      </c>
      <c r="P71" s="13">
        <f>I71*$S$70</f>
        <v>0.78298792112790483</v>
      </c>
      <c r="Q71" s="14">
        <f>I70*$S$70</f>
        <v>0.97991561918975345</v>
      </c>
    </row>
    <row r="72" spans="1:19" ht="17" thickBot="1" x14ac:dyDescent="0.25">
      <c r="E72" s="58"/>
      <c r="G72" s="36">
        <v>80</v>
      </c>
      <c r="H72" s="31">
        <f>_xlfn.FORECAST.LINEAR(G72,H70:H71,G70:G71)</f>
        <v>0.53863711089149346</v>
      </c>
      <c r="I72" s="31">
        <f>_xlfn.FORECAST.LINEAR(G72,I70:I71,G70:G71)</f>
        <v>0.66593733655477838</v>
      </c>
      <c r="J72" s="32">
        <f>_xlfn.FORECAST.LINEAR(G72,J70:J71,G70:G71)</f>
        <v>0.95012360808011564</v>
      </c>
    </row>
    <row r="73" spans="1:19" x14ac:dyDescent="0.2">
      <c r="E73" s="58"/>
    </row>
    <row r="74" spans="1:19" x14ac:dyDescent="0.2">
      <c r="E74" s="58"/>
    </row>
    <row r="75" spans="1:19" ht="17" thickBot="1" x14ac:dyDescent="0.25">
      <c r="G75" t="s">
        <v>44</v>
      </c>
      <c r="H75">
        <f>$B$39/H79</f>
        <v>0.5584420764104151</v>
      </c>
      <c r="I75">
        <f>$B$44/I79</f>
        <v>0.77080254273750359</v>
      </c>
      <c r="J75">
        <f>$B$49/J79</f>
        <v>0.99999999999294353</v>
      </c>
    </row>
    <row r="76" spans="1:19" ht="23" thickBot="1" x14ac:dyDescent="0.35">
      <c r="C76" s="7" t="s">
        <v>3</v>
      </c>
      <c r="D76" s="9">
        <v>70</v>
      </c>
      <c r="G76" s="25" t="s">
        <v>8</v>
      </c>
      <c r="M76" s="48" t="s">
        <v>12</v>
      </c>
      <c r="N76" s="8" t="s">
        <v>3</v>
      </c>
      <c r="O76" s="8">
        <v>80</v>
      </c>
      <c r="P76" s="8">
        <v>70</v>
      </c>
      <c r="Q76" s="9">
        <v>40</v>
      </c>
      <c r="S76">
        <f>D79/$D$79</f>
        <v>1</v>
      </c>
    </row>
    <row r="77" spans="1:19" ht="16" customHeight="1" x14ac:dyDescent="0.2">
      <c r="C77" s="10">
        <v>5</v>
      </c>
      <c r="D77" s="11">
        <f>Q15</f>
        <v>69.263596000024236</v>
      </c>
      <c r="G77" s="29"/>
      <c r="H77" s="33">
        <v>5</v>
      </c>
      <c r="I77" s="33">
        <v>17</v>
      </c>
      <c r="J77" s="34">
        <v>47</v>
      </c>
      <c r="M77" s="49"/>
      <c r="N77">
        <v>-15</v>
      </c>
      <c r="O77">
        <f>_xlfn.FORECAST.LINEAR(N77,O78:O79,N78:N79)</f>
        <v>0.29001682845019394</v>
      </c>
      <c r="P77">
        <f>_xlfn.FORECAST.LINEAR(N77,P78:P79,N78:N79)</f>
        <v>0.39196897749337617</v>
      </c>
      <c r="Q77">
        <f>_xlfn.FORECAST.LINEAR(N77,Q78:Q79,N78:N79)</f>
        <v>0.69782542462292385</v>
      </c>
    </row>
    <row r="78" spans="1:19" x14ac:dyDescent="0.2">
      <c r="C78" s="10">
        <v>17</v>
      </c>
      <c r="D78" s="11">
        <f>Q11</f>
        <v>83.123596000082372</v>
      </c>
      <c r="G78" s="35">
        <v>40</v>
      </c>
      <c r="H78" s="1">
        <f>_xlfn.FORECAST.LINEAR(40,B38:B39,A38:A39)/H75</f>
        <v>0.81374928995344875</v>
      </c>
      <c r="I78" s="1">
        <f>_xlfn.FORECAST.LINEAR(40,B43:B44,A43:A44)/I75</f>
        <v>0.88330360915176365</v>
      </c>
      <c r="J78" s="30">
        <f>_xlfn.FORECAST.LINEAR(40,B48:B49,A48:A49)/J75</f>
        <v>1.1496291757596537</v>
      </c>
      <c r="M78" s="49"/>
      <c r="N78">
        <v>5</v>
      </c>
      <c r="O78">
        <f>H80*$S$76</f>
        <v>0.51289425936437194</v>
      </c>
      <c r="P78">
        <f>H79*$S$76</f>
        <v>0.58810801701164106</v>
      </c>
      <c r="Q78" s="11">
        <f>H78*$S$76</f>
        <v>0.81374928995344875</v>
      </c>
    </row>
    <row r="79" spans="1:19" ht="17" thickBot="1" x14ac:dyDescent="0.25">
      <c r="C79" s="12">
        <v>47</v>
      </c>
      <c r="D79" s="19">
        <f>Q8</f>
        <v>117.77359600022801</v>
      </c>
      <c r="G79" s="35">
        <v>70</v>
      </c>
      <c r="H79">
        <f>D77/D79</f>
        <v>0.58810801701164106</v>
      </c>
      <c r="I79">
        <f>D78/D79</f>
        <v>0.70579144072260003</v>
      </c>
      <c r="J79" s="47">
        <f>D79/D79</f>
        <v>1</v>
      </c>
      <c r="M79" s="49"/>
      <c r="N79">
        <v>17</v>
      </c>
      <c r="O79">
        <f>I80*$S$76</f>
        <v>0.64662071791287878</v>
      </c>
      <c r="P79">
        <f>I79*$S$76</f>
        <v>0.70579144072260003</v>
      </c>
      <c r="Q79" s="11">
        <f>I78*$S$76</f>
        <v>0.88330360915176365</v>
      </c>
    </row>
    <row r="80" spans="1:19" ht="17" thickBot="1" x14ac:dyDescent="0.25">
      <c r="G80" s="36">
        <v>80</v>
      </c>
      <c r="H80" s="31">
        <f>_xlfn.FORECAST.LINEAR(G80,H78:H79,G78:G79)</f>
        <v>0.51289425936437194</v>
      </c>
      <c r="I80" s="31">
        <f>_xlfn.FORECAST.LINEAR(G80,I78:I79,G78:G79)</f>
        <v>0.64662071791287878</v>
      </c>
      <c r="J80" s="32">
        <f>_xlfn.FORECAST.LINEAR(G80,J78:J79,G78:G79)</f>
        <v>0.95012360808011564</v>
      </c>
      <c r="L80" s="19"/>
      <c r="M80" s="50"/>
      <c r="N80" s="13">
        <v>47</v>
      </c>
      <c r="O80" s="13">
        <f>J80*$S$76</f>
        <v>0.95012360808011564</v>
      </c>
      <c r="P80" s="13">
        <f>J79*$S$76</f>
        <v>1</v>
      </c>
      <c r="Q80" s="14">
        <f>J78*$S$76</f>
        <v>1.1496291757596537</v>
      </c>
    </row>
    <row r="83" spans="3:19" ht="17" thickBot="1" x14ac:dyDescent="0.25">
      <c r="G83" t="s">
        <v>44</v>
      </c>
      <c r="H83">
        <f>$B$39/H87</f>
        <v>0.73991535545403442</v>
      </c>
      <c r="I83">
        <f>$B$44/I87</f>
        <v>0.90255438746337724</v>
      </c>
      <c r="J83">
        <f>$B$49/J87</f>
        <v>0.99999999999294353</v>
      </c>
    </row>
    <row r="84" spans="3:19" ht="23" customHeight="1" thickBot="1" x14ac:dyDescent="0.35">
      <c r="C84" s="7" t="s">
        <v>3</v>
      </c>
      <c r="D84" s="9">
        <v>70</v>
      </c>
      <c r="G84" s="25" t="s">
        <v>9</v>
      </c>
      <c r="M84" s="48" t="s">
        <v>12</v>
      </c>
      <c r="N84" s="8" t="s">
        <v>3</v>
      </c>
      <c r="O84" s="8">
        <v>80</v>
      </c>
      <c r="P84" s="8">
        <v>70</v>
      </c>
      <c r="Q84" s="9">
        <v>40</v>
      </c>
      <c r="S84">
        <f>D87/$D$79</f>
        <v>0.74063620811785436</v>
      </c>
    </row>
    <row r="85" spans="3:19" x14ac:dyDescent="0.2">
      <c r="C85" s="10">
        <v>5</v>
      </c>
      <c r="D85" s="11">
        <f>_xlfn.FORECAST.LINEAR(C85,D86:D87,C86:C87)</f>
        <v>38.717389557809511</v>
      </c>
      <c r="G85" s="29"/>
      <c r="H85" s="33">
        <v>5</v>
      </c>
      <c r="I85" s="33">
        <v>17</v>
      </c>
      <c r="J85" s="34">
        <v>47</v>
      </c>
      <c r="M85" s="49"/>
      <c r="N85">
        <v>-15</v>
      </c>
      <c r="O85">
        <f>_xlfn.FORECAST.LINEAR(N85,O86:O87,N86:N87)</f>
        <v>9.4659611888635281E-2</v>
      </c>
      <c r="P85">
        <f>_xlfn.FORECAST.LINEAR(N85,P86:P87,N86:N87)</f>
        <v>0.13260518561123316</v>
      </c>
      <c r="Q85" s="11">
        <f>_xlfn.FORECAST.LINEAR(N85,Q86:Q87,N86:N87)</f>
        <v>0.24644190677902639</v>
      </c>
    </row>
    <row r="86" spans="3:19" x14ac:dyDescent="0.2">
      <c r="C86" s="10">
        <v>17</v>
      </c>
      <c r="D86" s="11">
        <f>Q12</f>
        <v>52.57738955786764</v>
      </c>
      <c r="G86" s="35">
        <v>40</v>
      </c>
      <c r="H86" s="1">
        <f>_xlfn.FORECAST.LINEAR(40,B38:B39,A38:A39)/H83</f>
        <v>0.61416733658710421</v>
      </c>
      <c r="I86" s="1">
        <f>_xlfn.FORECAST.LINEAR(40,B43:B44,A43:A44)/I83</f>
        <v>0.75436192810155756</v>
      </c>
      <c r="J86" s="30">
        <f>_xlfn.FORECAST.LINEAR(40,B48:B49,A48:A49)/J83</f>
        <v>1.1496291757596537</v>
      </c>
      <c r="M86" s="49"/>
      <c r="N86">
        <v>17</v>
      </c>
      <c r="O86">
        <f>I88*$S$84</f>
        <v>0.40900094579473895</v>
      </c>
      <c r="P86">
        <f>I87*$S$84</f>
        <v>0.44642764884045699</v>
      </c>
      <c r="Q86" s="11">
        <f>I86*$S$84</f>
        <v>0.55870775797761107</v>
      </c>
    </row>
    <row r="87" spans="3:19" ht="17" thickBot="1" x14ac:dyDescent="0.25">
      <c r="C87" s="12">
        <v>47</v>
      </c>
      <c r="D87">
        <f>Q9</f>
        <v>87.227389558012973</v>
      </c>
      <c r="G87" s="35">
        <v>70</v>
      </c>
      <c r="H87">
        <f>D85/D87</f>
        <v>0.44386734205841899</v>
      </c>
      <c r="I87">
        <f>D86/D87</f>
        <v>0.60276238718458497</v>
      </c>
      <c r="J87" s="47">
        <f>D87/D87</f>
        <v>1</v>
      </c>
      <c r="M87" s="50"/>
      <c r="N87" s="13">
        <v>47</v>
      </c>
      <c r="O87" s="13">
        <f>J88*$S$84</f>
        <v>0.70369594633171118</v>
      </c>
      <c r="P87" s="13">
        <f>J87*$S$84</f>
        <v>0.74063620811785436</v>
      </c>
      <c r="Q87" s="14">
        <f>J86*$S$84</f>
        <v>0.85145699347628423</v>
      </c>
    </row>
    <row r="88" spans="3:19" ht="17" thickBot="1" x14ac:dyDescent="0.25">
      <c r="G88" s="36">
        <v>80</v>
      </c>
      <c r="H88" s="31">
        <f>_xlfn.FORECAST.LINEAR(G88,H86:H87,G86:G87)</f>
        <v>0.38710067721552394</v>
      </c>
      <c r="I88" s="31">
        <f>_xlfn.FORECAST.LINEAR(G88,I86:I87,G86:G87)</f>
        <v>0.5522292068789274</v>
      </c>
      <c r="J88" s="32">
        <f>_xlfn.FORECAST.LINEAR(G88,J86:J87,G86:G87)</f>
        <v>0.95012360808011564</v>
      </c>
      <c r="L88" s="19"/>
    </row>
    <row r="91" spans="3:19" ht="17" thickBot="1" x14ac:dyDescent="0.25">
      <c r="G91" t="s">
        <v>44</v>
      </c>
      <c r="H91">
        <f>$B$39/H95</f>
        <v>1.4902030654768295</v>
      </c>
      <c r="I91">
        <f>$B$44/I95</f>
        <v>1.2276753059824739</v>
      </c>
      <c r="J91">
        <f>$B$49/J95</f>
        <v>0.99999999999294353</v>
      </c>
    </row>
    <row r="92" spans="3:19" ht="23" thickBot="1" x14ac:dyDescent="0.35">
      <c r="C92" s="7" t="s">
        <v>3</v>
      </c>
      <c r="D92" s="9">
        <v>70</v>
      </c>
      <c r="G92" s="25" t="s">
        <v>10</v>
      </c>
    </row>
    <row r="93" spans="3:19" ht="16" customHeight="1" x14ac:dyDescent="0.2">
      <c r="C93" s="10">
        <v>5</v>
      </c>
      <c r="D93" s="11">
        <f>_xlfn.FORECAST.LINEAR(C93,D94:D95,C94:C95)</f>
        <v>13.713334167235113</v>
      </c>
      <c r="G93" s="29"/>
      <c r="H93" s="33">
        <v>5</v>
      </c>
      <c r="I93" s="33">
        <v>17</v>
      </c>
      <c r="J93" s="34">
        <v>47</v>
      </c>
      <c r="M93" s="48" t="s">
        <v>12</v>
      </c>
      <c r="N93" s="8" t="s">
        <v>3</v>
      </c>
      <c r="O93" s="8">
        <v>80</v>
      </c>
      <c r="P93" s="8">
        <v>70</v>
      </c>
      <c r="Q93" s="9">
        <v>40</v>
      </c>
      <c r="S93">
        <f>D95/$D$79</f>
        <v>0.52833008654433988</v>
      </c>
    </row>
    <row r="94" spans="3:19" x14ac:dyDescent="0.2">
      <c r="C94" s="10">
        <v>17</v>
      </c>
      <c r="D94" s="11">
        <f>Q13</f>
        <v>27.573334167293243</v>
      </c>
      <c r="G94" s="35">
        <v>40</v>
      </c>
      <c r="H94" s="1">
        <f>_xlfn.FORECAST.LINEAR(40,B38:B39,A38:A39)/H91</f>
        <v>0.30494625443123585</v>
      </c>
      <c r="I94" s="1">
        <f>_xlfn.FORECAST.LINEAR(40,B43:B44,A43:A44)/I91</f>
        <v>0.55458692100883</v>
      </c>
      <c r="J94" s="30">
        <f>_xlfn.FORECAST.LINEAR(40,B48:B49,A48:A49)/J91</f>
        <v>1.1496291757596537</v>
      </c>
      <c r="M94" s="49"/>
      <c r="N94">
        <v>-15</v>
      </c>
      <c r="O94">
        <f>_xlfn.FORECAST.LINEAR(N94,O95:O96,N95:N96)</f>
        <v>-9.2157130714012214E-2</v>
      </c>
      <c r="P94">
        <f>_xlfn.FORECAST.LINEAR(N94,P95:P96,N95:N96)</f>
        <v>-7.9700935962281672E-2</v>
      </c>
      <c r="Q94" s="11">
        <f>_xlfn.FORECAST.LINEAR(N94,Q95:Q96,N95:N96)</f>
        <v>-4.2332351707090571E-2</v>
      </c>
    </row>
    <row r="95" spans="3:19" ht="17" thickBot="1" x14ac:dyDescent="0.25">
      <c r="C95" s="12">
        <v>47</v>
      </c>
      <c r="D95" s="14">
        <f>Q10</f>
        <v>62.223334167438587</v>
      </c>
      <c r="G95" s="35">
        <v>70</v>
      </c>
      <c r="H95">
        <f>D93/D95</f>
        <v>0.22038893207383425</v>
      </c>
      <c r="I95">
        <f>D94/D95</f>
        <v>0.4431349514813101</v>
      </c>
      <c r="J95">
        <f>D95/D95</f>
        <v>1</v>
      </c>
      <c r="M95" s="49"/>
      <c r="N95">
        <v>17</v>
      </c>
      <c r="O95">
        <f>I96*$S$93</f>
        <v>0.2144937176982718</v>
      </c>
      <c r="P95">
        <f>I95*$S$93</f>
        <v>0.23412152726694241</v>
      </c>
      <c r="Q95" s="11">
        <f>I94*$S$93</f>
        <v>0.29300495597295412</v>
      </c>
    </row>
    <row r="96" spans="3:19" ht="17" thickBot="1" x14ac:dyDescent="0.25">
      <c r="G96" s="36">
        <v>80</v>
      </c>
      <c r="H96" s="31">
        <f>_xlfn.FORECAST.LINEAR(G96,H94:H95,G94:G95)</f>
        <v>0.19220315795470039</v>
      </c>
      <c r="I96" s="31">
        <f>_xlfn.FORECAST.LINEAR(G96,I94:I95,G94:G95)</f>
        <v>0.40598429497213673</v>
      </c>
      <c r="J96" s="32">
        <f>_xlfn.FORECAST.LINEAR(G96,J94:J95,G94:G95)</f>
        <v>0.95012360808011564</v>
      </c>
      <c r="L96" s="19"/>
      <c r="M96" s="50"/>
      <c r="N96" s="13">
        <v>47</v>
      </c>
      <c r="O96" s="13">
        <f>J96*$S$93</f>
        <v>0.50197888808478797</v>
      </c>
      <c r="P96" s="13">
        <f>J95*$S$93</f>
        <v>0.52833008654433988</v>
      </c>
      <c r="Q96" s="14">
        <f>J94*$S$93</f>
        <v>0.60738368192299597</v>
      </c>
    </row>
    <row r="99" spans="1:11" x14ac:dyDescent="0.2">
      <c r="A99" s="23"/>
    </row>
    <row r="100" spans="1:11" x14ac:dyDescent="0.2">
      <c r="A100" s="23"/>
    </row>
    <row r="101" spans="1:11" x14ac:dyDescent="0.2">
      <c r="A101" s="23"/>
    </row>
    <row r="102" spans="1:11" x14ac:dyDescent="0.2">
      <c r="A102" s="23"/>
    </row>
    <row r="103" spans="1:11" ht="16" customHeight="1" x14ac:dyDescent="0.2">
      <c r="A103" s="23"/>
    </row>
    <row r="104" spans="1:11" ht="16" customHeight="1" x14ac:dyDescent="0.2"/>
    <row r="107" spans="1:11" x14ac:dyDescent="0.2">
      <c r="H107" s="20"/>
      <c r="K107" s="21"/>
    </row>
    <row r="116" spans="8:11" ht="16" customHeight="1" x14ac:dyDescent="0.2"/>
    <row r="117" spans="8:11" ht="16" customHeight="1" x14ac:dyDescent="0.2"/>
    <row r="120" spans="8:11" x14ac:dyDescent="0.2">
      <c r="H120" s="20"/>
      <c r="K120" s="21"/>
    </row>
  </sheetData>
  <mergeCells count="16">
    <mergeCell ref="M93:M96"/>
    <mergeCell ref="M76:M80"/>
    <mergeCell ref="A2:L4"/>
    <mergeCell ref="A21:R23"/>
    <mergeCell ref="A24:R26"/>
    <mergeCell ref="A54:R65"/>
    <mergeCell ref="E70:E74"/>
    <mergeCell ref="A70:B71"/>
    <mergeCell ref="M68:M71"/>
    <mergeCell ref="M84:M87"/>
    <mergeCell ref="A41:B42"/>
    <mergeCell ref="A46:B47"/>
    <mergeCell ref="H30:O30"/>
    <mergeCell ref="H42:O42"/>
    <mergeCell ref="A31:B32"/>
    <mergeCell ref="A36:B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8D0A-E0D4-CF44-8BE5-0123460E023D}">
  <dimension ref="A2:Z120"/>
  <sheetViews>
    <sheetView topLeftCell="A40" zoomScale="136" zoomScaleNormal="25" workbookViewId="0">
      <selection activeCell="W96" sqref="W96:X96"/>
    </sheetView>
  </sheetViews>
  <sheetFormatPr baseColWidth="10" defaultColWidth="11" defaultRowHeight="16" x14ac:dyDescent="0.2"/>
  <cols>
    <col min="18" max="18" width="9.6640625" customWidth="1"/>
  </cols>
  <sheetData>
    <row r="2" spans="1:21" x14ac:dyDescent="0.2">
      <c r="A2" s="59" t="s">
        <v>48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21" x14ac:dyDescent="0.2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21" x14ac:dyDescent="0.2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6" spans="1:21" x14ac:dyDescent="0.2">
      <c r="A6" t="s">
        <v>13</v>
      </c>
      <c r="B6" t="s">
        <v>14</v>
      </c>
      <c r="C6" t="s">
        <v>13</v>
      </c>
      <c r="D6" t="s">
        <v>4</v>
      </c>
      <c r="E6" t="s">
        <v>15</v>
      </c>
      <c r="F6" s="24" t="s">
        <v>52</v>
      </c>
      <c r="G6" t="s">
        <v>53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54</v>
      </c>
      <c r="N6" t="s">
        <v>22</v>
      </c>
      <c r="O6" t="s">
        <v>23</v>
      </c>
      <c r="P6" t="s">
        <v>24</v>
      </c>
      <c r="S6" t="s">
        <v>25</v>
      </c>
      <c r="T6" t="s">
        <v>26</v>
      </c>
      <c r="U6" t="s">
        <v>27</v>
      </c>
    </row>
    <row r="7" spans="1:21" x14ac:dyDescent="0.2">
      <c r="A7" t="s">
        <v>55</v>
      </c>
      <c r="B7" t="s">
        <v>56</v>
      </c>
      <c r="C7" t="s">
        <v>55</v>
      </c>
      <c r="D7" t="s">
        <v>57</v>
      </c>
      <c r="E7" t="s">
        <v>55</v>
      </c>
      <c r="F7" s="24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21</v>
      </c>
      <c r="N7" t="s">
        <v>59</v>
      </c>
      <c r="O7" t="s">
        <v>56</v>
      </c>
    </row>
    <row r="8" spans="1:21" x14ac:dyDescent="0.2">
      <c r="A8" t="s">
        <v>28</v>
      </c>
      <c r="B8">
        <v>47</v>
      </c>
      <c r="C8" t="s">
        <v>29</v>
      </c>
      <c r="D8">
        <v>124485.00000022772</v>
      </c>
      <c r="E8">
        <v>2.5550000000000002</v>
      </c>
      <c r="F8" s="24">
        <v>14279.216172745391</v>
      </c>
      <c r="G8">
        <v>14279.216172745391</v>
      </c>
      <c r="H8">
        <v>11762.216172745391</v>
      </c>
      <c r="I8">
        <v>500</v>
      </c>
      <c r="J8">
        <v>1967</v>
      </c>
      <c r="K8">
        <v>50</v>
      </c>
      <c r="M8">
        <v>3000</v>
      </c>
      <c r="N8">
        <v>0.85</v>
      </c>
      <c r="O8">
        <v>108.42129629636659</v>
      </c>
      <c r="P8">
        <v>117773.596000228</v>
      </c>
      <c r="Q8">
        <v>2.8035136895164783</v>
      </c>
      <c r="S8">
        <v>12312.216172745391</v>
      </c>
      <c r="T8">
        <v>0.35669524416428655</v>
      </c>
      <c r="U8">
        <v>2.8035136895164783</v>
      </c>
    </row>
    <row r="9" spans="1:21" x14ac:dyDescent="0.2">
      <c r="A9" t="s">
        <v>30</v>
      </c>
      <c r="B9">
        <v>47</v>
      </c>
      <c r="C9" t="s">
        <v>60</v>
      </c>
      <c r="D9">
        <v>89999.700000227705</v>
      </c>
      <c r="E9">
        <v>3.2800000000000002</v>
      </c>
      <c r="F9" s="24">
        <v>8041.6555572517473</v>
      </c>
      <c r="G9">
        <v>8041.6555572517482</v>
      </c>
      <c r="H9">
        <v>6917.790504798988</v>
      </c>
      <c r="I9">
        <v>261.3473378528995</v>
      </c>
      <c r="J9">
        <v>812.51771459986037</v>
      </c>
      <c r="K9">
        <v>50</v>
      </c>
      <c r="M9">
        <v>2168.9287866023151</v>
      </c>
      <c r="N9">
        <v>0.44429047434992913</v>
      </c>
      <c r="O9">
        <v>108.42129629636659</v>
      </c>
      <c r="P9">
        <v>87227.389558012976</v>
      </c>
      <c r="Q9">
        <v>3.5363671470152886</v>
      </c>
      <c r="S9">
        <v>7229.1378426518868</v>
      </c>
      <c r="T9">
        <v>0.28277606889431856</v>
      </c>
      <c r="U9">
        <v>3.5363671470152886</v>
      </c>
    </row>
    <row r="10" spans="1:21" x14ac:dyDescent="0.2">
      <c r="A10" t="s">
        <v>32</v>
      </c>
      <c r="B10">
        <v>47</v>
      </c>
      <c r="C10" t="s">
        <v>60</v>
      </c>
      <c r="D10">
        <v>63285.000000227701</v>
      </c>
      <c r="E10">
        <v>3.6450000000000005</v>
      </c>
      <c r="F10" s="24">
        <v>5088.403012150271</v>
      </c>
      <c r="G10">
        <v>5088.4030121502701</v>
      </c>
      <c r="H10">
        <v>4598.0242370827609</v>
      </c>
      <c r="I10">
        <v>129.22231762638648</v>
      </c>
      <c r="J10">
        <v>311.15645744112351</v>
      </c>
      <c r="K10">
        <v>50</v>
      </c>
      <c r="M10">
        <v>1525.1235088591861</v>
      </c>
      <c r="N10">
        <v>0.21967793996485699</v>
      </c>
      <c r="O10">
        <v>108.42129629636659</v>
      </c>
      <c r="P10">
        <v>62223.334167438588</v>
      </c>
      <c r="Q10">
        <v>3.8173906038109133</v>
      </c>
      <c r="S10">
        <v>4777.2465547091479</v>
      </c>
      <c r="T10">
        <v>0.26195904579471035</v>
      </c>
      <c r="U10">
        <v>3.8173906038109133</v>
      </c>
    </row>
    <row r="11" spans="1:21" x14ac:dyDescent="0.2">
      <c r="A11" t="s">
        <v>33</v>
      </c>
      <c r="B11">
        <v>17</v>
      </c>
      <c r="C11" t="s">
        <v>60</v>
      </c>
      <c r="D11">
        <v>89835.000000082364</v>
      </c>
      <c r="E11">
        <v>2.105</v>
      </c>
      <c r="F11" s="24">
        <v>12507.534837780728</v>
      </c>
      <c r="G11">
        <v>12507.534837780728</v>
      </c>
      <c r="H11">
        <v>9990.5348377807277</v>
      </c>
      <c r="I11">
        <v>500</v>
      </c>
      <c r="J11">
        <v>1967</v>
      </c>
      <c r="K11">
        <v>50</v>
      </c>
      <c r="M11">
        <v>3000</v>
      </c>
      <c r="N11">
        <v>0.85</v>
      </c>
      <c r="O11">
        <v>97.726851851877271</v>
      </c>
      <c r="P11">
        <v>83123.596000082369</v>
      </c>
      <c r="Q11">
        <v>2.3112804851538264</v>
      </c>
      <c r="S11">
        <v>10540.534837780728</v>
      </c>
      <c r="T11">
        <v>0.43266059936184914</v>
      </c>
      <c r="U11">
        <v>2.3112804851538264</v>
      </c>
    </row>
    <row r="12" spans="1:21" x14ac:dyDescent="0.2">
      <c r="A12" t="s">
        <v>34</v>
      </c>
      <c r="B12">
        <v>17</v>
      </c>
      <c r="C12" t="s">
        <v>60</v>
      </c>
      <c r="D12">
        <v>55349.700000082361</v>
      </c>
      <c r="E12">
        <v>2.38</v>
      </c>
      <c r="F12" s="24">
        <v>6815.7956890544947</v>
      </c>
      <c r="G12">
        <v>6815.7956890544947</v>
      </c>
      <c r="H12">
        <v>5748.477974454634</v>
      </c>
      <c r="I12">
        <v>204.8</v>
      </c>
      <c r="J12">
        <v>812.51771459986037</v>
      </c>
      <c r="K12">
        <v>50</v>
      </c>
      <c r="M12">
        <v>2168.9287866023151</v>
      </c>
      <c r="N12">
        <v>0.44429047434992913</v>
      </c>
      <c r="O12">
        <v>93.629047914746224</v>
      </c>
      <c r="P12">
        <v>52577.389557867638</v>
      </c>
      <c r="Q12">
        <v>2.566856227321002</v>
      </c>
      <c r="S12">
        <v>6003.2779744546342</v>
      </c>
      <c r="T12">
        <v>0.38958161713782014</v>
      </c>
      <c r="U12">
        <v>2.566856227321002</v>
      </c>
    </row>
    <row r="13" spans="1:21" x14ac:dyDescent="0.2">
      <c r="A13" t="s">
        <v>35</v>
      </c>
      <c r="B13">
        <v>17</v>
      </c>
      <c r="C13" t="s">
        <v>60</v>
      </c>
      <c r="D13">
        <v>28635.000000082357</v>
      </c>
      <c r="E13">
        <v>2.5950000000000002</v>
      </c>
      <c r="F13" s="24">
        <v>3233.985545838806</v>
      </c>
      <c r="G13">
        <v>3233.985545838806</v>
      </c>
      <c r="H13">
        <v>2803.1401995087936</v>
      </c>
      <c r="I13">
        <v>69.688888888888897</v>
      </c>
      <c r="J13">
        <v>311.15645744112351</v>
      </c>
      <c r="K13">
        <v>50</v>
      </c>
      <c r="M13">
        <v>1525.1235088591861</v>
      </c>
      <c r="N13">
        <v>0.21967793996485699</v>
      </c>
      <c r="O13">
        <v>87.384748667862254</v>
      </c>
      <c r="P13">
        <v>27573.334167293244</v>
      </c>
      <c r="Q13">
        <v>2.7648835257533828</v>
      </c>
      <c r="S13">
        <v>2922.8290883976824</v>
      </c>
      <c r="T13">
        <v>0.361678888345764</v>
      </c>
      <c r="U13">
        <v>2.7648835257533828</v>
      </c>
    </row>
    <row r="14" spans="1:21" x14ac:dyDescent="0.2">
      <c r="A14" t="s">
        <v>36</v>
      </c>
      <c r="B14">
        <v>17</v>
      </c>
      <c r="C14" t="s">
        <v>60</v>
      </c>
      <c r="D14">
        <v>100635.00000008236</v>
      </c>
      <c r="E14">
        <v>1.93811</v>
      </c>
      <c r="F14" s="24">
        <v>15217.695080022275</v>
      </c>
      <c r="G14">
        <v>15217.695080022275</v>
      </c>
      <c r="H14">
        <v>12200.023068267847</v>
      </c>
      <c r="I14">
        <v>500</v>
      </c>
      <c r="J14">
        <v>2467.6720117544282</v>
      </c>
      <c r="K14">
        <v>50</v>
      </c>
      <c r="M14">
        <v>3260.2723219660256</v>
      </c>
      <c r="N14">
        <v>0.85</v>
      </c>
      <c r="O14">
        <v>98.580605039594246</v>
      </c>
      <c r="P14">
        <v>92215.303095976255</v>
      </c>
      <c r="Q14">
        <v>2.1197420006287322</v>
      </c>
      <c r="S14">
        <v>12750.023068267847</v>
      </c>
      <c r="T14">
        <v>0.47175552482490418</v>
      </c>
      <c r="U14">
        <v>2.1197420006287322</v>
      </c>
    </row>
    <row r="15" spans="1:21" x14ac:dyDescent="0.2">
      <c r="A15" t="s">
        <v>37</v>
      </c>
      <c r="B15">
        <v>5</v>
      </c>
      <c r="C15" t="s">
        <v>60</v>
      </c>
      <c r="D15" s="24">
        <v>75975.000000024229</v>
      </c>
      <c r="E15">
        <v>1.925</v>
      </c>
      <c r="F15" s="24">
        <v>11566.933110854035</v>
      </c>
      <c r="G15">
        <v>11566.933110854035</v>
      </c>
      <c r="H15">
        <v>9049.9331108540355</v>
      </c>
      <c r="I15">
        <v>500</v>
      </c>
      <c r="J15">
        <v>1967</v>
      </c>
      <c r="K15">
        <v>50</v>
      </c>
      <c r="M15">
        <v>3000</v>
      </c>
      <c r="N15">
        <v>0.85</v>
      </c>
      <c r="O15">
        <v>93.449074074081551</v>
      </c>
      <c r="P15">
        <v>69263.596000024234</v>
      </c>
      <c r="Q15">
        <v>2.1145979449296624</v>
      </c>
      <c r="S15">
        <v>9599.9331108540355</v>
      </c>
      <c r="T15">
        <v>0.4729031362192414</v>
      </c>
      <c r="U15">
        <v>2.1145979449296624</v>
      </c>
    </row>
    <row r="16" spans="1:21" x14ac:dyDescent="0.2">
      <c r="A16" t="s">
        <v>38</v>
      </c>
      <c r="B16">
        <v>5</v>
      </c>
      <c r="C16" t="s">
        <v>60</v>
      </c>
      <c r="D16">
        <v>86775.000000024229</v>
      </c>
      <c r="E16">
        <v>1.7841499999999999</v>
      </c>
      <c r="F16">
        <v>14254.155993838836</v>
      </c>
      <c r="G16">
        <v>14254.155993838836</v>
      </c>
      <c r="H16">
        <v>11236.483982084408</v>
      </c>
      <c r="I16">
        <v>500</v>
      </c>
      <c r="J16">
        <v>2467.6720117544282</v>
      </c>
      <c r="K16">
        <v>50</v>
      </c>
      <c r="M16">
        <v>3260.2723219660256</v>
      </c>
      <c r="N16">
        <v>0.85</v>
      </c>
      <c r="O16">
        <v>94.644328536885311</v>
      </c>
      <c r="P16">
        <v>78355.30309591812</v>
      </c>
      <c r="Q16">
        <v>1.9483864565316151</v>
      </c>
      <c r="S16">
        <v>11786.483982084408</v>
      </c>
      <c r="T16">
        <v>0.51324520176563526</v>
      </c>
      <c r="U16">
        <v>1.9483864565316151</v>
      </c>
    </row>
    <row r="21" spans="1:18" ht="16" customHeight="1" x14ac:dyDescent="0.2">
      <c r="A21" s="60" t="s">
        <v>49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spans="1:18" ht="16" customHeight="1" x14ac:dyDescent="0.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</row>
    <row r="23" spans="1:18" ht="16" customHeight="1" x14ac:dyDescent="0.2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</row>
    <row r="24" spans="1:18" x14ac:dyDescent="0.2">
      <c r="A24" s="60" t="s">
        <v>50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</row>
    <row r="25" spans="1:18" x14ac:dyDescent="0.2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</row>
    <row r="26" spans="1:18" x14ac:dyDescent="0.2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9" spans="1:18" ht="17" thickBot="1" x14ac:dyDescent="0.25"/>
    <row r="30" spans="1:18" ht="17" thickBot="1" x14ac:dyDescent="0.25">
      <c r="G30" s="4" t="s">
        <v>0</v>
      </c>
      <c r="H30" s="53" t="s">
        <v>1</v>
      </c>
      <c r="I30" s="54"/>
      <c r="J30" s="54"/>
      <c r="K30" s="54"/>
      <c r="L30" s="54"/>
      <c r="M30" s="54"/>
      <c r="N30" s="54"/>
      <c r="O30" s="55"/>
    </row>
    <row r="31" spans="1:18" ht="17" customHeight="1" thickBot="1" x14ac:dyDescent="0.25">
      <c r="A31" s="51" t="s">
        <v>40</v>
      </c>
      <c r="B31" s="51"/>
      <c r="G31" s="6"/>
      <c r="H31" s="5">
        <v>70</v>
      </c>
      <c r="I31" s="2">
        <v>55</v>
      </c>
      <c r="J31" s="2">
        <v>48</v>
      </c>
      <c r="K31" s="2">
        <v>47</v>
      </c>
      <c r="L31" s="2">
        <v>43</v>
      </c>
      <c r="M31" s="2">
        <v>42</v>
      </c>
      <c r="N31" s="2">
        <v>41</v>
      </c>
      <c r="O31" s="3">
        <v>40</v>
      </c>
    </row>
    <row r="32" spans="1:18" ht="17" thickBot="1" x14ac:dyDescent="0.25">
      <c r="A32" s="51"/>
      <c r="B32" s="51"/>
      <c r="G32" s="15">
        <v>-2.6542817457305716</v>
      </c>
      <c r="H32" s="42">
        <v>1.3936362577443917</v>
      </c>
      <c r="I32" s="8"/>
      <c r="J32" s="8"/>
      <c r="K32" s="8"/>
      <c r="L32" s="8"/>
      <c r="M32" s="8"/>
      <c r="N32" s="8"/>
      <c r="O32" s="9"/>
    </row>
    <row r="33" spans="1:19" ht="17" thickBot="1" x14ac:dyDescent="0.25">
      <c r="A33" s="39">
        <v>-2.6542817457305716</v>
      </c>
      <c r="B33" s="6">
        <f>H44</f>
        <v>0.35106616886303316</v>
      </c>
      <c r="G33" s="15">
        <v>0</v>
      </c>
      <c r="H33" s="10"/>
      <c r="I33" s="42">
        <v>2.1880469787600574</v>
      </c>
      <c r="L33" s="42">
        <v>2.6307438054315111</v>
      </c>
      <c r="O33" s="11"/>
    </row>
    <row r="34" spans="1:19" ht="17" thickBot="1" x14ac:dyDescent="0.25">
      <c r="A34" s="16">
        <v>2.4791191646191955</v>
      </c>
      <c r="B34" s="4">
        <f>H46</f>
        <v>0.40506643583507629</v>
      </c>
      <c r="C34" t="s">
        <v>42</v>
      </c>
      <c r="G34" s="15">
        <v>2.4791191646191955</v>
      </c>
      <c r="H34" s="42">
        <v>1.6080024845552621</v>
      </c>
      <c r="O34" s="11"/>
    </row>
    <row r="35" spans="1:19" x14ac:dyDescent="0.2">
      <c r="G35" s="15">
        <v>17.113117392753022</v>
      </c>
      <c r="H35" s="42">
        <v>2.3467338419372297</v>
      </c>
      <c r="I35" s="42">
        <v>3.190255848757392</v>
      </c>
      <c r="K35" s="42">
        <v>3.6589125780341867</v>
      </c>
      <c r="N35" s="42">
        <v>3.9935778570660934</v>
      </c>
      <c r="O35" s="11"/>
    </row>
    <row r="36" spans="1:19" ht="17" customHeight="1" thickBot="1" x14ac:dyDescent="0.25">
      <c r="A36" s="51" t="s">
        <v>41</v>
      </c>
      <c r="B36" s="51"/>
      <c r="G36" s="15">
        <v>36.013495910149757</v>
      </c>
      <c r="H36" s="43">
        <v>3.46676298122139</v>
      </c>
      <c r="I36" s="42">
        <v>4.4040637102773985</v>
      </c>
      <c r="O36" s="43">
        <v>5.5612542833585978</v>
      </c>
    </row>
    <row r="37" spans="1:19" ht="17" thickBot="1" x14ac:dyDescent="0.25">
      <c r="A37" s="51"/>
      <c r="B37" s="51"/>
      <c r="G37" s="15">
        <v>40.179596000000018</v>
      </c>
      <c r="H37" s="44">
        <v>3.6517593796410779</v>
      </c>
      <c r="I37" s="42">
        <v>4.6425472824537106</v>
      </c>
      <c r="J37" s="42">
        <v>5.1803783323631505</v>
      </c>
      <c r="O37" s="43">
        <v>5.9312544604877919</v>
      </c>
    </row>
    <row r="38" spans="1:19" ht="17" thickBot="1" x14ac:dyDescent="0.25">
      <c r="A38" s="40">
        <v>43</v>
      </c>
      <c r="B38" s="6">
        <f>L45</f>
        <v>0.66270172284968587</v>
      </c>
      <c r="G38" s="15">
        <v>46.885640371752189</v>
      </c>
      <c r="H38" s="42">
        <v>3.9697253149109692</v>
      </c>
      <c r="I38" s="42">
        <v>5.0650998916935865</v>
      </c>
      <c r="L38" s="42">
        <v>6.1090388682762029</v>
      </c>
      <c r="O38" s="11"/>
    </row>
    <row r="39" spans="1:19" ht="17" thickBot="1" x14ac:dyDescent="0.25">
      <c r="A39" s="40">
        <v>70</v>
      </c>
      <c r="B39" s="4">
        <f>H45</f>
        <v>0.37898760445546681</v>
      </c>
      <c r="C39" t="s">
        <v>42</v>
      </c>
      <c r="G39" s="16">
        <v>60.011248993187053</v>
      </c>
      <c r="H39" s="42">
        <v>4.5056947314239606</v>
      </c>
      <c r="I39" s="42">
        <v>5.6843900642634484</v>
      </c>
      <c r="J39" s="13"/>
      <c r="K39" s="13"/>
      <c r="L39" s="13"/>
      <c r="M39" s="42">
        <v>7.0074258873780604</v>
      </c>
      <c r="N39" s="13"/>
      <c r="O39" s="14"/>
    </row>
    <row r="41" spans="1:19" ht="17" customHeight="1" thickBot="1" x14ac:dyDescent="0.25">
      <c r="A41" s="51" t="s">
        <v>43</v>
      </c>
      <c r="B41" s="51"/>
    </row>
    <row r="42" spans="1:19" ht="17" customHeight="1" thickBot="1" x14ac:dyDescent="0.25">
      <c r="A42" s="52"/>
      <c r="B42" s="52"/>
      <c r="G42" s="4" t="s">
        <v>0</v>
      </c>
      <c r="H42" s="53" t="s">
        <v>1</v>
      </c>
      <c r="I42" s="54"/>
      <c r="J42" s="54"/>
      <c r="K42" s="54"/>
      <c r="L42" s="54"/>
      <c r="M42" s="54"/>
      <c r="N42" s="54"/>
      <c r="O42" s="55"/>
    </row>
    <row r="43" spans="1:19" ht="17" thickBot="1" x14ac:dyDescent="0.25">
      <c r="A43" s="40">
        <v>41</v>
      </c>
      <c r="B43" s="6">
        <f>N47</f>
        <v>1.0060086127535146</v>
      </c>
      <c r="G43" s="6"/>
      <c r="H43" s="5">
        <v>70</v>
      </c>
      <c r="I43" s="2">
        <v>55</v>
      </c>
      <c r="J43" s="2">
        <v>48</v>
      </c>
      <c r="K43" s="2">
        <v>47</v>
      </c>
      <c r="L43" s="2">
        <v>43</v>
      </c>
      <c r="M43" s="2">
        <v>42</v>
      </c>
      <c r="N43" s="2">
        <v>41</v>
      </c>
      <c r="O43" s="3">
        <v>40</v>
      </c>
      <c r="P43" t="s">
        <v>5</v>
      </c>
    </row>
    <row r="44" spans="1:19" ht="17" thickBot="1" x14ac:dyDescent="0.25">
      <c r="A44" s="40">
        <v>70</v>
      </c>
      <c r="B44" s="4">
        <f>H47</f>
        <v>0.59115773908146607</v>
      </c>
      <c r="C44" t="s">
        <v>45</v>
      </c>
      <c r="G44" s="15">
        <v>-2.6542817457305716</v>
      </c>
      <c r="H44" s="7">
        <f>H32/$R$44</f>
        <v>0.35106616886303316</v>
      </c>
      <c r="I44" s="7"/>
      <c r="J44" s="7"/>
      <c r="K44" s="7"/>
      <c r="L44" s="7"/>
      <c r="M44" s="7"/>
      <c r="N44" s="7"/>
      <c r="O44" s="6"/>
      <c r="P44" t="s">
        <v>6</v>
      </c>
      <c r="R44" s="45">
        <f>H38</f>
        <v>3.9697253149109692</v>
      </c>
    </row>
    <row r="45" spans="1:19" ht="17" thickBot="1" x14ac:dyDescent="0.25">
      <c r="G45" s="15">
        <v>0</v>
      </c>
      <c r="H45" s="27">
        <f>_xlfn.FORECAST.LINEAR(0,B33:B34,A33:A34)</f>
        <v>0.37898760445546681</v>
      </c>
      <c r="I45" s="27">
        <f>I33/$R$44</f>
        <v>0.55118347119418509</v>
      </c>
      <c r="J45" s="27"/>
      <c r="K45" s="27"/>
      <c r="L45" s="27">
        <f>L33/$R$44</f>
        <v>0.66270172284968587</v>
      </c>
      <c r="M45" s="27"/>
      <c r="N45" s="27"/>
      <c r="O45" s="37"/>
      <c r="S45" s="17"/>
    </row>
    <row r="46" spans="1:19" ht="17" customHeight="1" thickBot="1" x14ac:dyDescent="0.25">
      <c r="A46" s="51" t="s">
        <v>47</v>
      </c>
      <c r="B46" s="51"/>
      <c r="G46" s="15">
        <v>2.4791191646191955</v>
      </c>
      <c r="H46" s="7">
        <f t="shared" ref="H46:H51" si="0">H34/$R$44</f>
        <v>0.40506643583507629</v>
      </c>
      <c r="I46" s="7"/>
      <c r="J46" s="7"/>
      <c r="K46" s="7"/>
      <c r="L46" s="7"/>
      <c r="M46" s="7"/>
      <c r="N46" s="7"/>
      <c r="O46" s="6"/>
    </row>
    <row r="47" spans="1:19" ht="17" thickBot="1" x14ac:dyDescent="0.25">
      <c r="A47" s="52"/>
      <c r="B47" s="52"/>
      <c r="G47" s="15">
        <v>17.113117392753022</v>
      </c>
      <c r="H47" s="28">
        <f t="shared" si="0"/>
        <v>0.59115773908146607</v>
      </c>
      <c r="I47" s="28">
        <f>I35/$R$44</f>
        <v>0.80364649835449409</v>
      </c>
      <c r="J47" s="28"/>
      <c r="K47" s="28">
        <f>K35/$R$44</f>
        <v>0.9217042207657753</v>
      </c>
      <c r="L47" s="28"/>
      <c r="M47" s="28"/>
      <c r="N47" s="28">
        <f>N35/$R$44</f>
        <v>1.0060086127535146</v>
      </c>
      <c r="O47" s="38"/>
    </row>
    <row r="48" spans="1:19" ht="17" thickBot="1" x14ac:dyDescent="0.25">
      <c r="A48" s="40">
        <v>43</v>
      </c>
      <c r="B48" s="6">
        <f>L50</f>
        <v>1.5389071997827166</v>
      </c>
      <c r="G48" s="15">
        <v>36.013495910149757</v>
      </c>
      <c r="H48" s="7">
        <f t="shared" si="0"/>
        <v>0.87330046948075568</v>
      </c>
      <c r="I48" s="7">
        <f t="shared" ref="I48" si="1">I36/$R$44</f>
        <v>1.1094127076588851</v>
      </c>
      <c r="J48" s="7"/>
      <c r="K48" s="7"/>
      <c r="L48" s="7"/>
      <c r="M48" s="7"/>
      <c r="N48" s="7"/>
      <c r="O48" s="7">
        <f>O36/$R$44</f>
        <v>1.4009166484314601</v>
      </c>
    </row>
    <row r="49" spans="1:18" ht="17" thickBot="1" x14ac:dyDescent="0.25">
      <c r="A49" s="40">
        <v>70</v>
      </c>
      <c r="B49" s="4">
        <f>H50</f>
        <v>1</v>
      </c>
      <c r="C49" t="s">
        <v>46</v>
      </c>
      <c r="G49" s="15">
        <v>40.179596000000018</v>
      </c>
      <c r="H49" s="7">
        <f t="shared" si="0"/>
        <v>0.91990228289207898</v>
      </c>
      <c r="I49" s="7">
        <f>I37/$R$44</f>
        <v>1.1694882930603552</v>
      </c>
      <c r="J49" s="7">
        <f>J37/$R$44</f>
        <v>1.3049714832673085</v>
      </c>
      <c r="K49" s="7"/>
      <c r="L49" s="7"/>
      <c r="M49" s="7"/>
      <c r="N49" s="7"/>
      <c r="O49" s="7">
        <f>O37/$R$44</f>
        <v>1.4941221343978091</v>
      </c>
    </row>
    <row r="50" spans="1:18" ht="17" thickBot="1" x14ac:dyDescent="0.25">
      <c r="G50" s="15">
        <v>46.885640371752189</v>
      </c>
      <c r="H50" s="7">
        <f t="shared" si="0"/>
        <v>1</v>
      </c>
      <c r="I50" s="7">
        <f>I38/$R$44</f>
        <v>1.2759320834285945</v>
      </c>
      <c r="J50" s="7"/>
      <c r="K50" s="7"/>
      <c r="L50" s="7">
        <f>L38/$R$44</f>
        <v>1.5389071997827166</v>
      </c>
      <c r="M50" s="7"/>
      <c r="N50" s="7"/>
      <c r="O50" s="6"/>
    </row>
    <row r="51" spans="1:18" ht="17" thickBot="1" x14ac:dyDescent="0.25">
      <c r="G51" s="16">
        <v>60.011248993187053</v>
      </c>
      <c r="H51" s="7">
        <f t="shared" si="0"/>
        <v>1.1350142324708963</v>
      </c>
      <c r="I51" s="7">
        <f>I39/$R$44</f>
        <v>1.431935364120007</v>
      </c>
      <c r="J51" s="26"/>
      <c r="K51" s="26"/>
      <c r="L51" s="26"/>
      <c r="M51" s="7">
        <f>M39/$R$44</f>
        <v>1.7652168176616569</v>
      </c>
      <c r="N51" s="26"/>
      <c r="O51" s="4"/>
    </row>
    <row r="52" spans="1:18" x14ac:dyDescent="0.2">
      <c r="G52" s="41"/>
    </row>
    <row r="53" spans="1:18" x14ac:dyDescent="0.2">
      <c r="G53" s="41"/>
    </row>
    <row r="54" spans="1:18" ht="16" customHeight="1" x14ac:dyDescent="0.2">
      <c r="A54" s="56" t="s">
        <v>51</v>
      </c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</row>
    <row r="55" spans="1:18" ht="16" customHeight="1" x14ac:dyDescent="0.2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</row>
    <row r="56" spans="1:18" ht="16" customHeight="1" x14ac:dyDescent="0.2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</row>
    <row r="57" spans="1:18" ht="16" customHeight="1" x14ac:dyDescent="0.2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</row>
    <row r="58" spans="1:18" ht="16" customHeight="1" x14ac:dyDescent="0.2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</row>
    <row r="59" spans="1:18" ht="16" customHeight="1" x14ac:dyDescent="0.2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</row>
    <row r="60" spans="1:18" ht="16" customHeight="1" x14ac:dyDescent="0.2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</row>
    <row r="61" spans="1:18" ht="16" customHeight="1" x14ac:dyDescent="0.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</row>
    <row r="62" spans="1:18" ht="16" customHeight="1" x14ac:dyDescent="0.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</row>
    <row r="63" spans="1:18" x14ac:dyDescent="0.2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</row>
    <row r="64" spans="1:18" x14ac:dyDescent="0.2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</row>
    <row r="65" spans="1:26" x14ac:dyDescent="0.2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</row>
    <row r="66" spans="1:26" ht="17" thickBot="1" x14ac:dyDescent="0.25"/>
    <row r="67" spans="1:26" ht="17" thickBot="1" x14ac:dyDescent="0.25">
      <c r="C67" s="7" t="s">
        <v>3</v>
      </c>
      <c r="D67" s="9">
        <v>70</v>
      </c>
      <c r="G67" t="s">
        <v>44</v>
      </c>
      <c r="H67">
        <f>$B$39/H71</f>
        <v>0.49564602934052249</v>
      </c>
      <c r="I67">
        <f>$B$44/I71</f>
        <v>0.71062765098286762</v>
      </c>
      <c r="J67">
        <f>$B$49/J71</f>
        <v>1</v>
      </c>
      <c r="S67" t="s">
        <v>11</v>
      </c>
    </row>
    <row r="68" spans="1:26" ht="23" customHeight="1" thickBot="1" x14ac:dyDescent="0.35">
      <c r="C68" s="10">
        <v>5</v>
      </c>
      <c r="D68" s="11">
        <f>Q16</f>
        <v>1.9483864565316151</v>
      </c>
      <c r="G68" s="25" t="s">
        <v>2</v>
      </c>
      <c r="M68" s="48" t="s">
        <v>12</v>
      </c>
      <c r="N68" s="8" t="s">
        <v>3</v>
      </c>
      <c r="O68" s="8">
        <v>80</v>
      </c>
      <c r="P68" s="8">
        <v>70</v>
      </c>
      <c r="Q68" s="9">
        <v>40</v>
      </c>
      <c r="W68">
        <v>-15</v>
      </c>
    </row>
    <row r="69" spans="1:26" x14ac:dyDescent="0.2">
      <c r="C69" s="10">
        <v>17</v>
      </c>
      <c r="D69" s="11">
        <f>Q14</f>
        <v>2.1197420006287322</v>
      </c>
      <c r="G69" s="29"/>
      <c r="H69" s="33">
        <v>5</v>
      </c>
      <c r="I69" s="33">
        <v>17</v>
      </c>
      <c r="J69" s="34">
        <v>47</v>
      </c>
      <c r="M69" s="49"/>
      <c r="N69">
        <v>-15</v>
      </c>
      <c r="O69">
        <f>_xlfn.FORECAST.LINEAR(N69,O70:O71,N70:N71)</f>
        <v>0.38420798243844123</v>
      </c>
      <c r="P69">
        <f>_xlfn.FORECAST.LINEAR(N69,P70:P71,N70:N71)</f>
        <v>0.59311067010455787</v>
      </c>
      <c r="Q69" s="11">
        <f>_xlfn.FORECAST.LINEAR(N69,Q70:Q71,N70:N71)</f>
        <v>1.219818733102906</v>
      </c>
      <c r="V69">
        <f>G69</f>
        <v>0</v>
      </c>
      <c r="W69">
        <f t="shared" ref="W69:Z69" si="2">H69</f>
        <v>5</v>
      </c>
      <c r="X69">
        <f t="shared" si="2"/>
        <v>17</v>
      </c>
      <c r="Y69">
        <f t="shared" si="2"/>
        <v>47</v>
      </c>
      <c r="Z69">
        <f t="shared" si="2"/>
        <v>0</v>
      </c>
    </row>
    <row r="70" spans="1:26" ht="16" customHeight="1" thickBot="1" x14ac:dyDescent="0.25">
      <c r="A70" s="57" t="s">
        <v>39</v>
      </c>
      <c r="B70" s="57"/>
      <c r="C70" s="12">
        <v>47</v>
      </c>
      <c r="D70" s="14">
        <f>_xlfn.FORECAST.LINEAR(47, D68:D69,C68:C69)</f>
        <v>2.5481308608715247</v>
      </c>
      <c r="E70" s="58" t="s">
        <v>7</v>
      </c>
      <c r="G70" s="35">
        <v>40</v>
      </c>
      <c r="H70" s="1">
        <f>_xlfn.FORECAST.LINEAR(40,B38:B39,A38:A39)/H67</f>
        <v>1.4006477862963467</v>
      </c>
      <c r="I70" s="1">
        <f>_xlfn.FORECAST.LINEAR(40,B43:B44,A43:A44)/I67</f>
        <v>1.4357924489466971</v>
      </c>
      <c r="J70" s="30">
        <f>_xlfn.FORECAST.LINEAR(40,B48:B49,A48:A49)/J67</f>
        <v>1.5987857775363516</v>
      </c>
      <c r="M70" s="49"/>
      <c r="N70">
        <v>5</v>
      </c>
      <c r="O70">
        <f>H72*$S$70</f>
        <v>0.50228777699577354</v>
      </c>
      <c r="P70">
        <f>H71*$S$70</f>
        <v>0.69498018283893348</v>
      </c>
      <c r="Q70" s="11">
        <f>H70*$S$70</f>
        <v>1.2730574003684128</v>
      </c>
      <c r="S70">
        <f>D70/$D$79</f>
        <v>0.9089061595811222</v>
      </c>
      <c r="U70">
        <v>4.4400000000000004</v>
      </c>
      <c r="V70">
        <f t="shared" ref="V70:V72" si="3">G70</f>
        <v>40</v>
      </c>
      <c r="W70">
        <f>1/H70</f>
        <v>0.71395536392788883</v>
      </c>
      <c r="X70">
        <f t="shared" ref="X70:Y72" si="4">1/I70</f>
        <v>0.69647949516213425</v>
      </c>
      <c r="Y70">
        <f t="shared" si="4"/>
        <v>0.62547466586858791</v>
      </c>
    </row>
    <row r="71" spans="1:26" ht="17" thickBot="1" x14ac:dyDescent="0.25">
      <c r="A71" s="57"/>
      <c r="B71" s="57"/>
      <c r="E71" s="58"/>
      <c r="G71" s="35">
        <v>70</v>
      </c>
      <c r="H71" s="1">
        <f>D68/D70</f>
        <v>0.76463359337252323</v>
      </c>
      <c r="I71" s="1">
        <f>D69/D70</f>
        <v>0.83188113812323095</v>
      </c>
      <c r="J71" s="30">
        <f>D70/D70</f>
        <v>1</v>
      </c>
      <c r="M71" s="50"/>
      <c r="N71" s="13">
        <v>17</v>
      </c>
      <c r="O71" s="13">
        <f>I72*$S$70</f>
        <v>0.57313565373017294</v>
      </c>
      <c r="P71" s="13">
        <f>I71*$S$70</f>
        <v>0.75610189047955889</v>
      </c>
      <c r="Q71" s="14">
        <f>I70*$S$70</f>
        <v>1.3050006007277168</v>
      </c>
      <c r="V71">
        <f t="shared" si="3"/>
        <v>70</v>
      </c>
      <c r="W71">
        <f t="shared" ref="W71:W72" si="5">1/H71</f>
        <v>1.3078159378132477</v>
      </c>
      <c r="X71">
        <f t="shared" si="4"/>
        <v>1.202094811592981</v>
      </c>
      <c r="Y71">
        <f t="shared" si="4"/>
        <v>1</v>
      </c>
    </row>
    <row r="72" spans="1:26" ht="17" thickBot="1" x14ac:dyDescent="0.25">
      <c r="E72" s="58"/>
      <c r="G72" s="36">
        <v>80</v>
      </c>
      <c r="H72" s="31">
        <f>_xlfn.FORECAST.LINEAR(G72,H70:H71,G70:G71)</f>
        <v>0.5526288623979152</v>
      </c>
      <c r="I72" s="31">
        <f>_xlfn.FORECAST.LINEAR(G72,I70:I71,G70:G71)</f>
        <v>0.6305773678487423</v>
      </c>
      <c r="J72" s="32">
        <f>_xlfn.FORECAST.LINEAR(G72,J70:J71,G70:G71)</f>
        <v>0.80040474082121582</v>
      </c>
      <c r="U72">
        <v>26.67</v>
      </c>
      <c r="V72">
        <f t="shared" si="3"/>
        <v>80</v>
      </c>
      <c r="W72">
        <f t="shared" si="5"/>
        <v>1.8095327045730005</v>
      </c>
      <c r="X72">
        <f t="shared" si="4"/>
        <v>1.5858482257483617</v>
      </c>
      <c r="Y72">
        <f t="shared" si="4"/>
        <v>1.2493679122564907</v>
      </c>
    </row>
    <row r="73" spans="1:26" x14ac:dyDescent="0.2">
      <c r="E73" s="58"/>
    </row>
    <row r="74" spans="1:26" x14ac:dyDescent="0.2">
      <c r="E74" s="58"/>
    </row>
    <row r="75" spans="1:26" ht="17" thickBot="1" x14ac:dyDescent="0.25">
      <c r="G75" t="s">
        <v>44</v>
      </c>
      <c r="H75">
        <f>$B$39/H79</f>
        <v>0.50245813384789761</v>
      </c>
      <c r="I75">
        <f>$B$44/I79</f>
        <v>0.71705655147613911</v>
      </c>
      <c r="J75">
        <f>$B$49/J79</f>
        <v>1</v>
      </c>
    </row>
    <row r="76" spans="1:26" ht="23" thickBot="1" x14ac:dyDescent="0.35">
      <c r="C76" s="7" t="s">
        <v>3</v>
      </c>
      <c r="D76" s="9">
        <v>70</v>
      </c>
      <c r="G76" s="25" t="s">
        <v>8</v>
      </c>
      <c r="M76" s="48" t="s">
        <v>12</v>
      </c>
      <c r="N76" s="8" t="s">
        <v>3</v>
      </c>
      <c r="O76" s="8">
        <v>80</v>
      </c>
      <c r="P76" s="8">
        <v>70</v>
      </c>
      <c r="Q76" s="9">
        <v>40</v>
      </c>
      <c r="S76">
        <f>D79/$D$79</f>
        <v>1</v>
      </c>
    </row>
    <row r="77" spans="1:26" ht="16" customHeight="1" x14ac:dyDescent="0.2">
      <c r="C77" s="10">
        <v>5</v>
      </c>
      <c r="D77" s="11">
        <f>Q15</f>
        <v>2.1145979449296624</v>
      </c>
      <c r="G77" s="29"/>
      <c r="H77" s="33">
        <v>5</v>
      </c>
      <c r="I77" s="33">
        <v>17</v>
      </c>
      <c r="J77" s="34">
        <v>47</v>
      </c>
      <c r="M77" s="49"/>
      <c r="N77">
        <v>-15</v>
      </c>
      <c r="O77">
        <f>_xlfn.FORECAST.LINEAR(N77,O78:O79,N78:N79)</f>
        <v>0.41215782083052732</v>
      </c>
      <c r="P77">
        <f>_xlfn.FORECAST.LINEAR(N77,P78:P79,N78:N79)</f>
        <v>0.63734081909580054</v>
      </c>
      <c r="Q77">
        <f>_xlfn.FORECAST.LINEAR(N77,Q78:Q79,N78:N79)</f>
        <v>1.312889813891621</v>
      </c>
      <c r="V77">
        <f>G77</f>
        <v>0</v>
      </c>
      <c r="W77">
        <f>H77</f>
        <v>5</v>
      </c>
      <c r="X77">
        <f t="shared" ref="X77" si="6">I77</f>
        <v>17</v>
      </c>
      <c r="Y77">
        <f t="shared" ref="Y77" si="7">J77</f>
        <v>47</v>
      </c>
    </row>
    <row r="78" spans="1:26" x14ac:dyDescent="0.2">
      <c r="C78" s="10">
        <v>17</v>
      </c>
      <c r="D78" s="11">
        <f>Q11</f>
        <v>2.3112804851538264</v>
      </c>
      <c r="G78" s="35">
        <v>40</v>
      </c>
      <c r="H78" s="1">
        <f>_xlfn.FORECAST.LINEAR(40,B38:B39,A38:A39)/H75</f>
        <v>1.3816584248838739</v>
      </c>
      <c r="I78" s="1">
        <f>_xlfn.FORECAST.LINEAR(40,B43:B44,A43:A44)/I75</f>
        <v>1.4229195914792256</v>
      </c>
      <c r="J78" s="30">
        <f>_xlfn.FORECAST.LINEAR(40,B48:B49,A48:A49)/J75</f>
        <v>1.5987857775363516</v>
      </c>
      <c r="M78" s="49"/>
      <c r="N78">
        <v>5</v>
      </c>
      <c r="O78">
        <f>H80*$S$76</f>
        <v>0.54513656540668798</v>
      </c>
      <c r="P78">
        <f>H79*$S$76</f>
        <v>0.75426703027598441</v>
      </c>
      <c r="Q78" s="11">
        <f>H78*$S$76</f>
        <v>1.3816584248838739</v>
      </c>
      <c r="V78">
        <f t="shared" ref="V78:V80" si="8">G78</f>
        <v>40</v>
      </c>
      <c r="W78">
        <f>1/H78</f>
        <v>0.72376788791632662</v>
      </c>
      <c r="X78">
        <f t="shared" ref="X78:X80" si="9">1/I78</f>
        <v>0.70278040023359944</v>
      </c>
      <c r="Y78">
        <f t="shared" ref="Y78:Y80" si="10">1/J78</f>
        <v>0.62547466586858791</v>
      </c>
    </row>
    <row r="79" spans="1:26" ht="17" thickBot="1" x14ac:dyDescent="0.25">
      <c r="C79" s="12">
        <v>47</v>
      </c>
      <c r="D79" s="19">
        <f>Q8</f>
        <v>2.8035136895164783</v>
      </c>
      <c r="G79" s="35">
        <v>70</v>
      </c>
      <c r="H79">
        <f>D77/D79</f>
        <v>0.75426703027598441</v>
      </c>
      <c r="I79">
        <f>D78/D79</f>
        <v>0.82442275698409473</v>
      </c>
      <c r="J79">
        <f>D79/D79</f>
        <v>1</v>
      </c>
      <c r="M79" s="49"/>
      <c r="N79">
        <v>17</v>
      </c>
      <c r="O79">
        <f>I80*$S$76</f>
        <v>0.62492381215238435</v>
      </c>
      <c r="P79">
        <f>I79*$S$76</f>
        <v>0.82442275698409473</v>
      </c>
      <c r="Q79" s="11">
        <f>I78*$S$76</f>
        <v>1.4229195914792256</v>
      </c>
      <c r="V79">
        <f t="shared" si="8"/>
        <v>70</v>
      </c>
      <c r="W79">
        <f>1/H79</f>
        <v>1.3257904162059191</v>
      </c>
      <c r="X79">
        <f t="shared" si="9"/>
        <v>1.2129699132253486</v>
      </c>
      <c r="Y79">
        <f t="shared" si="10"/>
        <v>1</v>
      </c>
    </row>
    <row r="80" spans="1:26" ht="17" thickBot="1" x14ac:dyDescent="0.25">
      <c r="G80" s="36">
        <v>80</v>
      </c>
      <c r="H80" s="31">
        <f>_xlfn.FORECAST.LINEAR(G80,H78:H79,G78:G79)</f>
        <v>0.54513656540668798</v>
      </c>
      <c r="I80" s="31">
        <f>_xlfn.FORECAST.LINEAR(G80,I78:I79,G78:G79)</f>
        <v>0.62492381215238435</v>
      </c>
      <c r="J80" s="32">
        <f>_xlfn.FORECAST.LINEAR(G80,J78:J79,G78:G79)</f>
        <v>0.80040474082121582</v>
      </c>
      <c r="L80" s="19"/>
      <c r="M80" s="50"/>
      <c r="N80" s="13">
        <v>47</v>
      </c>
      <c r="O80" s="13">
        <f>J80*$S$76</f>
        <v>0.80040474082121582</v>
      </c>
      <c r="P80" s="13">
        <f>J79*$S$76</f>
        <v>1</v>
      </c>
      <c r="Q80" s="14">
        <f>J78*$S$76</f>
        <v>1.5987857775363516</v>
      </c>
      <c r="V80">
        <f t="shared" si="8"/>
        <v>80</v>
      </c>
      <c r="W80">
        <f t="shared" ref="W80" si="11">1/H80</f>
        <v>1.8344027230203692</v>
      </c>
      <c r="X80">
        <f t="shared" si="9"/>
        <v>1.6001950646683876</v>
      </c>
      <c r="Y80">
        <f t="shared" si="10"/>
        <v>1.2493679122564907</v>
      </c>
    </row>
    <row r="83" spans="3:25" ht="17" thickBot="1" x14ac:dyDescent="0.25">
      <c r="G83" t="s">
        <v>44</v>
      </c>
      <c r="H83">
        <f>$B$39/H87</f>
        <v>0.61505618038147436</v>
      </c>
      <c r="I83">
        <f>$B$44/I87</f>
        <v>0.81444016417445242</v>
      </c>
      <c r="J83">
        <f>$B$49/J87</f>
        <v>1</v>
      </c>
    </row>
    <row r="84" spans="3:25" ht="23" customHeight="1" thickBot="1" x14ac:dyDescent="0.35">
      <c r="C84" s="7" t="s">
        <v>3</v>
      </c>
      <c r="D84" s="9">
        <v>70</v>
      </c>
      <c r="G84" s="25" t="s">
        <v>9</v>
      </c>
      <c r="M84" s="48" t="s">
        <v>12</v>
      </c>
      <c r="N84" s="8" t="s">
        <v>3</v>
      </c>
      <c r="O84" s="8">
        <v>80</v>
      </c>
      <c r="P84" s="8">
        <v>70</v>
      </c>
      <c r="Q84" s="9">
        <v>40</v>
      </c>
      <c r="S84">
        <f>D87/$D$79</f>
        <v>1.2614053429591798</v>
      </c>
    </row>
    <row r="85" spans="3:25" x14ac:dyDescent="0.2">
      <c r="C85" s="10">
        <v>5</v>
      </c>
      <c r="D85" s="11">
        <f>_xlfn.FORECAST.LINEAR(C85,D86:D87,C86:C87)</f>
        <v>2.1790518594432875</v>
      </c>
      <c r="G85" s="29"/>
      <c r="H85" s="33">
        <v>5</v>
      </c>
      <c r="I85" s="33">
        <v>17</v>
      </c>
      <c r="J85" s="34">
        <v>47</v>
      </c>
      <c r="M85" s="49"/>
      <c r="N85">
        <v>-15</v>
      </c>
      <c r="O85">
        <f>_xlfn.FORECAST.LINEAR(N85,O86:O87,N86:N87)</f>
        <v>0.35737733674039884</v>
      </c>
      <c r="P85">
        <f>_xlfn.FORECAST.LINEAR(N85,P86:P87,N86:N87)</f>
        <v>0.54671081223723572</v>
      </c>
      <c r="Q85" s="11">
        <f>_xlfn.FORECAST.LINEAR(N85,Q86:Q87,N86:N87)</f>
        <v>1.1147112387277467</v>
      </c>
      <c r="V85">
        <f>G85</f>
        <v>0</v>
      </c>
      <c r="W85">
        <f>H85</f>
        <v>5</v>
      </c>
      <c r="X85">
        <f t="shared" ref="X85" si="12">I85</f>
        <v>17</v>
      </c>
      <c r="Y85">
        <f t="shared" ref="Y85" si="13">J85</f>
        <v>47</v>
      </c>
    </row>
    <row r="86" spans="3:25" x14ac:dyDescent="0.2">
      <c r="C86" s="10">
        <v>17</v>
      </c>
      <c r="D86" s="11">
        <f>Q12</f>
        <v>2.566856227321002</v>
      </c>
      <c r="G86" s="35">
        <v>40</v>
      </c>
      <c r="H86" s="1">
        <f>_xlfn.FORECAST.LINEAR(40,B38:B39,A38:A39)/H83</f>
        <v>1.128718864920274</v>
      </c>
      <c r="I86" s="1">
        <f>_xlfn.FORECAST.LINEAR(40,B43:B44,A43:A44)/I83</f>
        <v>1.252779344849918</v>
      </c>
      <c r="J86" s="30">
        <f>_xlfn.FORECAST.LINEAR(40,B48:B49,A48:A49)/J83</f>
        <v>1.5987857775363516</v>
      </c>
      <c r="M86" s="49"/>
      <c r="N86">
        <v>17</v>
      </c>
      <c r="O86">
        <f>I88*$S$84</f>
        <v>0.6940263586043165</v>
      </c>
      <c r="P86">
        <f>I87*$S$84</f>
        <v>0.91558540873888428</v>
      </c>
      <c r="Q86" s="11">
        <f>I86*$S$84</f>
        <v>1.5802625591425874</v>
      </c>
      <c r="V86">
        <f t="shared" ref="V86:V88" si="14">G86</f>
        <v>40</v>
      </c>
      <c r="W86">
        <f>1/H86</f>
        <v>0.88596020770028872</v>
      </c>
      <c r="X86">
        <f t="shared" ref="X86:X88" si="15">1/I86</f>
        <v>0.7982251655975372</v>
      </c>
      <c r="Y86">
        <f t="shared" ref="Y86:Y88" si="16">1/J86</f>
        <v>0.62547466586858791</v>
      </c>
    </row>
    <row r="87" spans="3:25" ht="17" thickBot="1" x14ac:dyDescent="0.25">
      <c r="C87" s="12">
        <v>47</v>
      </c>
      <c r="D87">
        <f>Q9</f>
        <v>3.5363671470152886</v>
      </c>
      <c r="G87" s="35">
        <v>70</v>
      </c>
      <c r="H87">
        <f>D85/D87</f>
        <v>0.61618371873022804</v>
      </c>
      <c r="I87">
        <f>D86/D87</f>
        <v>0.72584551337873426</v>
      </c>
      <c r="J87">
        <f>D87/D87</f>
        <v>1</v>
      </c>
      <c r="M87" s="50"/>
      <c r="N87" s="13">
        <v>47</v>
      </c>
      <c r="O87" s="13">
        <f>J88*$S$84</f>
        <v>1.0096348166017393</v>
      </c>
      <c r="P87" s="13">
        <f>J87*$S$84</f>
        <v>1.2614053429591798</v>
      </c>
      <c r="Q87" s="14">
        <f>J86*$S$84</f>
        <v>2.0167169220315007</v>
      </c>
      <c r="V87">
        <f t="shared" si="14"/>
        <v>70</v>
      </c>
      <c r="W87">
        <f>1/H87</f>
        <v>1.622892604271829</v>
      </c>
      <c r="X87">
        <f t="shared" si="15"/>
        <v>1.3777036319272755</v>
      </c>
      <c r="Y87">
        <f t="shared" si="16"/>
        <v>1</v>
      </c>
    </row>
    <row r="88" spans="3:25" ht="17" thickBot="1" x14ac:dyDescent="0.25">
      <c r="G88" s="36">
        <v>80</v>
      </c>
      <c r="H88" s="31">
        <f>_xlfn.FORECAST.LINEAR(G88,H86:H87,G86:G87)</f>
        <v>0.44533867000021266</v>
      </c>
      <c r="I88" s="31">
        <f>_xlfn.FORECAST.LINEAR(G88,I86:I87,G86:G87)</f>
        <v>0.55020090288833967</v>
      </c>
      <c r="J88" s="32">
        <f>_xlfn.FORECAST.LINEAR(G88,J86:J87,G86:G87)</f>
        <v>0.80040474082121582</v>
      </c>
      <c r="L88" s="19"/>
      <c r="V88">
        <f t="shared" si="14"/>
        <v>80</v>
      </c>
      <c r="W88">
        <f t="shared" ref="W88" si="17">1/H88</f>
        <v>2.2454820732264782</v>
      </c>
      <c r="X88">
        <f t="shared" si="15"/>
        <v>1.8175179189099671</v>
      </c>
      <c r="Y88">
        <f t="shared" si="16"/>
        <v>1.2493679122564907</v>
      </c>
    </row>
    <row r="91" spans="3:25" ht="17" thickBot="1" x14ac:dyDescent="0.25">
      <c r="G91" t="s">
        <v>44</v>
      </c>
      <c r="H91">
        <f>$B$39/H95</f>
        <v>0.61724290130687787</v>
      </c>
      <c r="I91">
        <f>$B$44/I95</f>
        <v>0.81619351322395617</v>
      </c>
      <c r="J91">
        <f>$B$49/J95</f>
        <v>1</v>
      </c>
    </row>
    <row r="92" spans="3:25" ht="23" thickBot="1" x14ac:dyDescent="0.35">
      <c r="C92" s="7" t="s">
        <v>3</v>
      </c>
      <c r="D92" s="9">
        <v>70</v>
      </c>
      <c r="G92" s="25" t="s">
        <v>10</v>
      </c>
    </row>
    <row r="93" spans="3:25" ht="16" customHeight="1" x14ac:dyDescent="0.2">
      <c r="C93" s="10">
        <v>5</v>
      </c>
      <c r="D93" s="11">
        <f>_xlfn.FORECAST.LINEAR(C93,D94:D95,C94:C95)</f>
        <v>2.343880694530371</v>
      </c>
      <c r="G93" s="29"/>
      <c r="H93" s="33">
        <v>5</v>
      </c>
      <c r="I93" s="33">
        <v>17</v>
      </c>
      <c r="J93" s="34">
        <v>47</v>
      </c>
      <c r="M93" s="48" t="s">
        <v>12</v>
      </c>
      <c r="N93" s="8" t="s">
        <v>3</v>
      </c>
      <c r="O93" s="8">
        <v>80</v>
      </c>
      <c r="P93" s="8">
        <v>70</v>
      </c>
      <c r="Q93" s="9">
        <v>40</v>
      </c>
      <c r="S93">
        <f>D95/$D$79</f>
        <v>1.3616450734967869</v>
      </c>
      <c r="V93">
        <f>G93</f>
        <v>0</v>
      </c>
      <c r="W93">
        <f>H93</f>
        <v>5</v>
      </c>
      <c r="X93">
        <f t="shared" ref="X93" si="18">I93</f>
        <v>17</v>
      </c>
      <c r="Y93">
        <f t="shared" ref="Y93" si="19">J93</f>
        <v>47</v>
      </c>
    </row>
    <row r="94" spans="3:25" x14ac:dyDescent="0.2">
      <c r="C94" s="10">
        <v>17</v>
      </c>
      <c r="D94" s="11">
        <f>Q13</f>
        <v>2.7648835257533828</v>
      </c>
      <c r="G94" s="35">
        <v>40</v>
      </c>
      <c r="H94" s="1">
        <f>_xlfn.FORECAST.LINEAR(40,B38:B39,A38:A39)/H91</f>
        <v>1.1247201260840831</v>
      </c>
      <c r="I94" s="1">
        <f>_xlfn.FORECAST.LINEAR(40,B43:B44,A43:A44)/I91</f>
        <v>1.2500881209698675</v>
      </c>
      <c r="J94" s="30">
        <f>_xlfn.FORECAST.LINEAR(40,B48:B49,A48:A49)/J91</f>
        <v>1.5987857775363516</v>
      </c>
      <c r="M94" s="49"/>
      <c r="N94">
        <v>-15</v>
      </c>
      <c r="O94">
        <f>_xlfn.FORECAST.LINEAR(N94,O95:O96,N95:N96)</f>
        <v>0.38245087108620407</v>
      </c>
      <c r="P94">
        <f>_xlfn.FORECAST.LINEAR(N94,P95:P96,N95:N96)</f>
        <v>0.58576825049922088</v>
      </c>
      <c r="Q94" s="11">
        <f>_xlfn.FORECAST.LINEAR(N94,Q95:Q96,N95:N96)</f>
        <v>1.1957203887382728</v>
      </c>
      <c r="V94">
        <f t="shared" ref="V94:V96" si="20">G94</f>
        <v>40</v>
      </c>
      <c r="W94">
        <f>1/H94</f>
        <v>0.88911007886173532</v>
      </c>
      <c r="X94">
        <f t="shared" ref="X94:X96" si="21">1/I94</f>
        <v>0.79994360655484087</v>
      </c>
      <c r="Y94">
        <f t="shared" ref="Y94:Y96" si="22">1/J94</f>
        <v>0.62547466586858791</v>
      </c>
    </row>
    <row r="95" spans="3:25" ht="17" thickBot="1" x14ac:dyDescent="0.25">
      <c r="C95" s="12">
        <v>47</v>
      </c>
      <c r="D95" s="14">
        <f>Q10</f>
        <v>3.8173906038109133</v>
      </c>
      <c r="G95" s="35">
        <v>70</v>
      </c>
      <c r="H95">
        <f>D93/D95</f>
        <v>0.6140007501958189</v>
      </c>
      <c r="I95">
        <f>D94/D95</f>
        <v>0.72428625013987058</v>
      </c>
      <c r="J95">
        <f>D95/D95</f>
        <v>1</v>
      </c>
      <c r="M95" s="49"/>
      <c r="N95">
        <v>17</v>
      </c>
      <c r="O95">
        <f>I96*$S$93</f>
        <v>0.74756896195406319</v>
      </c>
      <c r="P95">
        <f>I95*$S$93</f>
        <v>0.98622080430441628</v>
      </c>
      <c r="Q95" s="11">
        <f>I94*$S$93</f>
        <v>1.7021763313554754</v>
      </c>
      <c r="V95">
        <f t="shared" si="20"/>
        <v>70</v>
      </c>
      <c r="W95">
        <f>1/H95</f>
        <v>1.6286625051859906</v>
      </c>
      <c r="X95">
        <f t="shared" si="21"/>
        <v>1.3806695899678958</v>
      </c>
      <c r="Y95">
        <f t="shared" si="22"/>
        <v>1</v>
      </c>
    </row>
    <row r="96" spans="3:25" ht="17" thickBot="1" x14ac:dyDescent="0.25">
      <c r="G96" s="36">
        <v>80</v>
      </c>
      <c r="H96" s="31">
        <f>_xlfn.FORECAST.LINEAR(G96,H94:H95,G94:G95)</f>
        <v>0.44376095823306416</v>
      </c>
      <c r="I96" s="31">
        <f>_xlfn.FORECAST.LINEAR(G96,I94:I95,G94:G95)</f>
        <v>0.54901895986320493</v>
      </c>
      <c r="J96" s="32">
        <f>_xlfn.FORECAST.LINEAR(G96,J94:J95,G94:G95)</f>
        <v>0.80040474082121582</v>
      </c>
      <c r="L96" s="19"/>
      <c r="M96" s="50"/>
      <c r="N96" s="13">
        <v>47</v>
      </c>
      <c r="O96" s="13">
        <f>J96*$S$93</f>
        <v>1.0898671721426811</v>
      </c>
      <c r="P96" s="13">
        <f>J95*$S$93</f>
        <v>1.3616450734967869</v>
      </c>
      <c r="Q96" s="14">
        <f>J94*$S$93</f>
        <v>2.176978777559103</v>
      </c>
      <c r="V96">
        <f t="shared" si="20"/>
        <v>80</v>
      </c>
      <c r="W96">
        <f t="shared" ref="W96" si="23">1/H96</f>
        <v>2.2534654783100545</v>
      </c>
      <c r="X96">
        <f t="shared" si="21"/>
        <v>1.8214307211706546</v>
      </c>
      <c r="Y96">
        <f t="shared" si="22"/>
        <v>1.2493679122564907</v>
      </c>
    </row>
    <row r="99" spans="1:11" x14ac:dyDescent="0.2">
      <c r="A99" s="23"/>
    </row>
    <row r="100" spans="1:11" x14ac:dyDescent="0.2">
      <c r="A100" s="23"/>
    </row>
    <row r="101" spans="1:11" x14ac:dyDescent="0.2">
      <c r="A101" s="23"/>
    </row>
    <row r="102" spans="1:11" x14ac:dyDescent="0.2">
      <c r="A102" s="23"/>
    </row>
    <row r="103" spans="1:11" ht="16" customHeight="1" x14ac:dyDescent="0.2">
      <c r="A103" s="23"/>
    </row>
    <row r="104" spans="1:11" ht="16" customHeight="1" x14ac:dyDescent="0.2"/>
    <row r="107" spans="1:11" x14ac:dyDescent="0.2">
      <c r="H107" s="20"/>
      <c r="K107" s="21"/>
    </row>
    <row r="116" spans="8:11" ht="16" customHeight="1" x14ac:dyDescent="0.2"/>
    <row r="117" spans="8:11" ht="16" customHeight="1" x14ac:dyDescent="0.2"/>
    <row r="120" spans="8:11" x14ac:dyDescent="0.2">
      <c r="H120" s="20"/>
      <c r="K120" s="21"/>
    </row>
  </sheetData>
  <mergeCells count="16">
    <mergeCell ref="A36:B37"/>
    <mergeCell ref="A2:L4"/>
    <mergeCell ref="A21:R23"/>
    <mergeCell ref="A24:R26"/>
    <mergeCell ref="H30:O30"/>
    <mergeCell ref="A31:B32"/>
    <mergeCell ref="M76:M80"/>
    <mergeCell ref="M84:M87"/>
    <mergeCell ref="M93:M96"/>
    <mergeCell ref="A41:B42"/>
    <mergeCell ref="H42:O42"/>
    <mergeCell ref="A46:B47"/>
    <mergeCell ref="A54:R65"/>
    <mergeCell ref="M68:M71"/>
    <mergeCell ref="A70:B71"/>
    <mergeCell ref="E70:E7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1038-0D32-0541-97F9-3034250063A9}">
  <dimension ref="A2:AB120"/>
  <sheetViews>
    <sheetView topLeftCell="A9" zoomScale="125" zoomScaleNormal="25" workbookViewId="0">
      <selection activeCell="R44" sqref="R44"/>
    </sheetView>
  </sheetViews>
  <sheetFormatPr baseColWidth="10" defaultColWidth="11" defaultRowHeight="16" x14ac:dyDescent="0.2"/>
  <cols>
    <col min="3" max="3" width="31.33203125" bestFit="1" customWidth="1"/>
    <col min="18" max="18" width="9.6640625" customWidth="1"/>
  </cols>
  <sheetData>
    <row r="2" spans="1:21" x14ac:dyDescent="0.2">
      <c r="A2" s="59" t="s">
        <v>48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21" x14ac:dyDescent="0.2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21" x14ac:dyDescent="0.2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6" spans="1:21" x14ac:dyDescent="0.2">
      <c r="A6" t="s">
        <v>13</v>
      </c>
      <c r="B6" t="s">
        <v>14</v>
      </c>
      <c r="C6" t="s">
        <v>13</v>
      </c>
      <c r="D6" t="s">
        <v>4</v>
      </c>
      <c r="E6" t="s">
        <v>15</v>
      </c>
      <c r="F6" s="24" t="s">
        <v>52</v>
      </c>
      <c r="G6" t="s">
        <v>53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54</v>
      </c>
      <c r="N6" t="s">
        <v>22</v>
      </c>
      <c r="O6" t="s">
        <v>23</v>
      </c>
      <c r="P6" t="s">
        <v>24</v>
      </c>
      <c r="S6" t="s">
        <v>25</v>
      </c>
      <c r="T6" t="s">
        <v>26</v>
      </c>
      <c r="U6" t="s">
        <v>27</v>
      </c>
    </row>
    <row r="7" spans="1:21" x14ac:dyDescent="0.2">
      <c r="A7" t="s">
        <v>55</v>
      </c>
      <c r="B7" t="s">
        <v>56</v>
      </c>
      <c r="C7" t="s">
        <v>55</v>
      </c>
      <c r="D7" t="s">
        <v>57</v>
      </c>
      <c r="E7" t="s">
        <v>55</v>
      </c>
      <c r="F7" s="24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21</v>
      </c>
      <c r="N7" t="s">
        <v>59</v>
      </c>
      <c r="O7" t="s">
        <v>56</v>
      </c>
    </row>
    <row r="8" spans="1:21" x14ac:dyDescent="0.2">
      <c r="A8" t="s">
        <v>28</v>
      </c>
      <c r="B8">
        <v>47</v>
      </c>
      <c r="C8" t="s">
        <v>29</v>
      </c>
      <c r="D8">
        <v>124485.00000022772</v>
      </c>
      <c r="E8">
        <v>2.5550000000000002</v>
      </c>
      <c r="F8" s="24">
        <v>14279.216172745391</v>
      </c>
      <c r="G8">
        <v>14279.216172745391</v>
      </c>
      <c r="H8">
        <v>11762.216172745391</v>
      </c>
      <c r="I8">
        <v>500</v>
      </c>
      <c r="J8">
        <v>1967</v>
      </c>
      <c r="K8">
        <v>50</v>
      </c>
      <c r="M8">
        <v>3000</v>
      </c>
      <c r="N8">
        <v>0.85</v>
      </c>
      <c r="O8">
        <v>108.42129629636659</v>
      </c>
      <c r="P8">
        <v>117773.596000228</v>
      </c>
      <c r="Q8">
        <v>2.8035136895164783</v>
      </c>
      <c r="S8">
        <v>12312.216172745391</v>
      </c>
      <c r="T8">
        <v>0.35669524416428655</v>
      </c>
      <c r="U8">
        <v>2.8035136895164801</v>
      </c>
    </row>
    <row r="9" spans="1:21" x14ac:dyDescent="0.2">
      <c r="A9" t="s">
        <v>30</v>
      </c>
      <c r="B9">
        <v>47</v>
      </c>
      <c r="C9" t="s">
        <v>60</v>
      </c>
      <c r="D9">
        <v>89999.700000227705</v>
      </c>
      <c r="E9">
        <v>3.2800000000000002</v>
      </c>
      <c r="F9" s="24">
        <v>8041.6555572517473</v>
      </c>
      <c r="G9">
        <v>8041.6555572517482</v>
      </c>
      <c r="H9">
        <v>6917.790504798988</v>
      </c>
      <c r="I9">
        <v>261.3473378528995</v>
      </c>
      <c r="J9">
        <v>812.51771459986037</v>
      </c>
      <c r="K9">
        <v>50</v>
      </c>
      <c r="M9">
        <v>2168.9287866023151</v>
      </c>
      <c r="N9">
        <v>0.44429047434992913</v>
      </c>
      <c r="O9">
        <v>108.42129629636659</v>
      </c>
      <c r="P9">
        <v>87227.389558012976</v>
      </c>
      <c r="Q9">
        <v>3.5363671470152886</v>
      </c>
      <c r="S9">
        <v>7229.1378426518868</v>
      </c>
      <c r="T9">
        <v>0.28277606889431856</v>
      </c>
      <c r="U9">
        <v>3.5363671470152886</v>
      </c>
    </row>
    <row r="10" spans="1:21" x14ac:dyDescent="0.2">
      <c r="A10" t="s">
        <v>32</v>
      </c>
      <c r="B10">
        <v>47</v>
      </c>
      <c r="C10" t="s">
        <v>60</v>
      </c>
      <c r="D10">
        <v>63285.000000227701</v>
      </c>
      <c r="E10">
        <v>3.6450000000000005</v>
      </c>
      <c r="F10" s="24">
        <v>5088.403012150271</v>
      </c>
      <c r="G10">
        <v>5088.4030121502701</v>
      </c>
      <c r="H10">
        <v>4598.0242370827609</v>
      </c>
      <c r="I10">
        <v>129.22231762638648</v>
      </c>
      <c r="J10">
        <v>311.15645744112351</v>
      </c>
      <c r="K10">
        <v>50</v>
      </c>
      <c r="M10">
        <v>1525.1235088591861</v>
      </c>
      <c r="N10">
        <v>0.21967793996485699</v>
      </c>
      <c r="O10">
        <v>108.42129629636659</v>
      </c>
      <c r="P10">
        <v>62223.334167438588</v>
      </c>
      <c r="Q10">
        <v>3.8173906038109133</v>
      </c>
      <c r="S10">
        <v>4777.2465547091479</v>
      </c>
      <c r="T10">
        <v>0.26195904579471035</v>
      </c>
      <c r="U10">
        <v>3.8173906038109133</v>
      </c>
    </row>
    <row r="11" spans="1:21" x14ac:dyDescent="0.2">
      <c r="A11" t="s">
        <v>33</v>
      </c>
      <c r="B11">
        <v>17</v>
      </c>
      <c r="C11" t="s">
        <v>60</v>
      </c>
      <c r="D11">
        <v>89835.000000082364</v>
      </c>
      <c r="E11">
        <v>2.105</v>
      </c>
      <c r="F11" s="24">
        <v>12507.534837780728</v>
      </c>
      <c r="G11">
        <v>12507.534837780728</v>
      </c>
      <c r="H11">
        <v>9990.5348377807277</v>
      </c>
      <c r="I11">
        <v>500</v>
      </c>
      <c r="J11">
        <v>1967</v>
      </c>
      <c r="K11">
        <v>50</v>
      </c>
      <c r="M11">
        <v>3000</v>
      </c>
      <c r="N11">
        <v>0.85</v>
      </c>
      <c r="O11">
        <v>97.726851851877271</v>
      </c>
      <c r="P11">
        <v>83123.596000082369</v>
      </c>
      <c r="Q11">
        <v>2.3112804851538264</v>
      </c>
      <c r="S11">
        <v>10540.534837780728</v>
      </c>
      <c r="T11">
        <v>0.43266059936184914</v>
      </c>
      <c r="U11">
        <v>2.3112804851538264</v>
      </c>
    </row>
    <row r="12" spans="1:21" x14ac:dyDescent="0.2">
      <c r="A12" t="s">
        <v>34</v>
      </c>
      <c r="B12">
        <v>17</v>
      </c>
      <c r="C12" t="s">
        <v>60</v>
      </c>
      <c r="D12">
        <v>55349.700000082361</v>
      </c>
      <c r="E12">
        <v>2.38</v>
      </c>
      <c r="F12" s="24">
        <v>6815.7956890544947</v>
      </c>
      <c r="G12">
        <v>6815.7956890544947</v>
      </c>
      <c r="H12">
        <v>5748.477974454634</v>
      </c>
      <c r="I12">
        <v>204.8</v>
      </c>
      <c r="J12">
        <v>812.51771459986037</v>
      </c>
      <c r="K12">
        <v>50</v>
      </c>
      <c r="M12">
        <v>2168.9287866023151</v>
      </c>
      <c r="N12">
        <v>0.44429047434992913</v>
      </c>
      <c r="O12">
        <v>93.629047914746224</v>
      </c>
      <c r="P12">
        <v>52577.389557867638</v>
      </c>
      <c r="Q12">
        <v>2.566856227321002</v>
      </c>
      <c r="S12">
        <v>6003.2779744546342</v>
      </c>
      <c r="T12">
        <v>0.38958161713782014</v>
      </c>
      <c r="U12">
        <v>2.566856227321002</v>
      </c>
    </row>
    <row r="13" spans="1:21" x14ac:dyDescent="0.2">
      <c r="A13" t="s">
        <v>35</v>
      </c>
      <c r="B13">
        <v>17</v>
      </c>
      <c r="C13" t="s">
        <v>60</v>
      </c>
      <c r="D13">
        <v>28635.000000082357</v>
      </c>
      <c r="E13">
        <v>2.5950000000000002</v>
      </c>
      <c r="F13" s="24">
        <v>3233.985545838806</v>
      </c>
      <c r="G13">
        <v>3233.985545838806</v>
      </c>
      <c r="H13">
        <v>2803.1401995087936</v>
      </c>
      <c r="I13">
        <v>69.688888888888897</v>
      </c>
      <c r="J13">
        <v>311.15645744112351</v>
      </c>
      <c r="K13">
        <v>50</v>
      </c>
      <c r="M13">
        <v>1525.1235088591861</v>
      </c>
      <c r="N13">
        <v>0.21967793996485699</v>
      </c>
      <c r="O13">
        <v>87.384748667862254</v>
      </c>
      <c r="P13">
        <v>27573.334167293244</v>
      </c>
      <c r="Q13">
        <v>2.7648835257533828</v>
      </c>
      <c r="S13">
        <v>2922.8290883976824</v>
      </c>
      <c r="T13">
        <v>0.361678888345764</v>
      </c>
      <c r="U13">
        <v>2.7648835257533828</v>
      </c>
    </row>
    <row r="14" spans="1:21" x14ac:dyDescent="0.2">
      <c r="A14" t="s">
        <v>36</v>
      </c>
      <c r="B14">
        <v>17</v>
      </c>
      <c r="C14" t="s">
        <v>60</v>
      </c>
      <c r="D14">
        <v>100635.00000008236</v>
      </c>
      <c r="E14">
        <v>1.93811</v>
      </c>
      <c r="F14" s="24">
        <v>15217.695080022275</v>
      </c>
      <c r="G14">
        <v>15217.695080022275</v>
      </c>
      <c r="H14">
        <v>12200.023068267847</v>
      </c>
      <c r="I14">
        <v>500</v>
      </c>
      <c r="J14">
        <v>2467.6720117544282</v>
      </c>
      <c r="K14">
        <v>50</v>
      </c>
      <c r="M14">
        <v>3260.2723219660256</v>
      </c>
      <c r="N14">
        <v>0.85</v>
      </c>
      <c r="O14">
        <v>98.580605039594246</v>
      </c>
      <c r="P14">
        <v>92215.303095976255</v>
      </c>
      <c r="Q14">
        <v>2.1197420006287322</v>
      </c>
      <c r="S14">
        <v>12750.023068267847</v>
      </c>
      <c r="T14">
        <v>0.47175552482490418</v>
      </c>
      <c r="U14">
        <v>2.1197420006287322</v>
      </c>
    </row>
    <row r="15" spans="1:21" x14ac:dyDescent="0.2">
      <c r="A15" t="s">
        <v>37</v>
      </c>
      <c r="B15">
        <v>5</v>
      </c>
      <c r="C15" t="s">
        <v>60</v>
      </c>
      <c r="D15" s="24">
        <v>75975.000000024229</v>
      </c>
      <c r="E15">
        <v>1.925</v>
      </c>
      <c r="F15" s="24">
        <v>11566.933110854035</v>
      </c>
      <c r="G15">
        <v>11566.933110854035</v>
      </c>
      <c r="H15">
        <v>9049.9331108540355</v>
      </c>
      <c r="I15">
        <v>500</v>
      </c>
      <c r="J15">
        <v>1967</v>
      </c>
      <c r="K15">
        <v>50</v>
      </c>
      <c r="M15">
        <v>3000</v>
      </c>
      <c r="N15">
        <v>0.85</v>
      </c>
      <c r="O15">
        <v>93.449074074081551</v>
      </c>
      <c r="P15">
        <v>69263.596000024234</v>
      </c>
      <c r="Q15">
        <v>2.1145979449296624</v>
      </c>
      <c r="S15">
        <v>9599.9331108540355</v>
      </c>
      <c r="T15">
        <v>0.4729031362192414</v>
      </c>
      <c r="U15">
        <v>2.1145979449296624</v>
      </c>
    </row>
    <row r="16" spans="1:21" x14ac:dyDescent="0.2">
      <c r="A16" t="s">
        <v>38</v>
      </c>
      <c r="B16">
        <v>5</v>
      </c>
      <c r="C16" t="s">
        <v>60</v>
      </c>
      <c r="D16">
        <v>86775.000000024229</v>
      </c>
      <c r="E16">
        <v>1.7841499999999999</v>
      </c>
      <c r="F16">
        <v>14254.155993838836</v>
      </c>
      <c r="G16">
        <v>14254.155993838836</v>
      </c>
      <c r="H16">
        <v>11236.483982084408</v>
      </c>
      <c r="I16">
        <v>500</v>
      </c>
      <c r="J16">
        <v>2467.6720117544282</v>
      </c>
      <c r="K16">
        <v>50</v>
      </c>
      <c r="M16">
        <v>3260.2723219660256</v>
      </c>
      <c r="N16">
        <v>0.85</v>
      </c>
      <c r="O16">
        <v>94.644328536885311</v>
      </c>
      <c r="P16">
        <v>78355.30309591812</v>
      </c>
      <c r="Q16">
        <v>1.9483864565316151</v>
      </c>
      <c r="S16">
        <v>11786.483982084408</v>
      </c>
      <c r="T16">
        <v>0.51324520176563526</v>
      </c>
      <c r="U16">
        <v>1.9483864565316151</v>
      </c>
    </row>
    <row r="21" spans="1:18" ht="16" customHeight="1" x14ac:dyDescent="0.2">
      <c r="A21" s="60" t="s">
        <v>49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spans="1:18" ht="16" customHeight="1" x14ac:dyDescent="0.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</row>
    <row r="23" spans="1:18" ht="16" customHeight="1" x14ac:dyDescent="0.2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</row>
    <row r="24" spans="1:18" x14ac:dyDescent="0.2">
      <c r="A24" s="60" t="s">
        <v>50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</row>
    <row r="25" spans="1:18" x14ac:dyDescent="0.2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</row>
    <row r="26" spans="1:18" x14ac:dyDescent="0.2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9" spans="1:18" ht="17" thickBot="1" x14ac:dyDescent="0.25"/>
    <row r="30" spans="1:18" ht="17" thickBot="1" x14ac:dyDescent="0.25">
      <c r="G30" s="4" t="s">
        <v>0</v>
      </c>
      <c r="H30" s="53" t="s">
        <v>1</v>
      </c>
      <c r="I30" s="54"/>
      <c r="J30" s="54"/>
      <c r="K30" s="54"/>
      <c r="L30" s="54"/>
      <c r="M30" s="54"/>
      <c r="N30" s="54"/>
      <c r="O30" s="55"/>
    </row>
    <row r="31" spans="1:18" ht="17" customHeight="1" thickBot="1" x14ac:dyDescent="0.25">
      <c r="A31" s="51" t="s">
        <v>40</v>
      </c>
      <c r="B31" s="51"/>
      <c r="G31" s="6"/>
      <c r="H31" s="5">
        <v>70</v>
      </c>
      <c r="I31" s="2">
        <v>55</v>
      </c>
      <c r="J31" s="2">
        <v>48</v>
      </c>
      <c r="K31" s="2">
        <v>47</v>
      </c>
      <c r="L31" s="2">
        <v>43</v>
      </c>
      <c r="M31" s="2">
        <v>42</v>
      </c>
      <c r="N31" s="2">
        <v>41</v>
      </c>
      <c r="O31" s="3">
        <v>40</v>
      </c>
    </row>
    <row r="32" spans="1:18" ht="17" thickBot="1" x14ac:dyDescent="0.25">
      <c r="A32" s="51"/>
      <c r="B32" s="51"/>
      <c r="G32" s="15">
        <v>-2.6542817457305716</v>
      </c>
      <c r="H32" s="42">
        <v>1.3936362577443917</v>
      </c>
      <c r="I32" s="8"/>
      <c r="J32" s="8"/>
      <c r="K32" s="8"/>
      <c r="L32" s="8"/>
      <c r="M32" s="8"/>
      <c r="N32" s="8"/>
      <c r="O32" s="9"/>
    </row>
    <row r="33" spans="1:19" ht="17" thickBot="1" x14ac:dyDescent="0.25">
      <c r="A33" s="39">
        <v>-2.6542817457305716</v>
      </c>
      <c r="B33" s="6">
        <f>H44</f>
        <v>0.35106616886303316</v>
      </c>
      <c r="G33" s="15">
        <v>0</v>
      </c>
      <c r="H33" s="10"/>
      <c r="I33" s="42">
        <v>2.1880469787600574</v>
      </c>
      <c r="L33" s="42">
        <v>2.6307438054315111</v>
      </c>
      <c r="O33" s="11"/>
    </row>
    <row r="34" spans="1:19" ht="17" thickBot="1" x14ac:dyDescent="0.25">
      <c r="A34" s="16">
        <v>2.4791191646191955</v>
      </c>
      <c r="B34" s="4">
        <f>H46</f>
        <v>0.40506643583507629</v>
      </c>
      <c r="C34" t="s">
        <v>42</v>
      </c>
      <c r="G34" s="15">
        <v>2.4791191646191955</v>
      </c>
      <c r="H34" s="42">
        <v>1.6080024845552621</v>
      </c>
      <c r="O34" s="11"/>
    </row>
    <row r="35" spans="1:19" x14ac:dyDescent="0.2">
      <c r="G35" s="15">
        <v>17.113117392753022</v>
      </c>
      <c r="H35" s="42">
        <v>2.3467338419372297</v>
      </c>
      <c r="I35" s="42">
        <v>3.190255848757392</v>
      </c>
      <c r="K35" s="42">
        <v>3.6589125780341867</v>
      </c>
      <c r="N35" s="42">
        <v>3.9935778570660934</v>
      </c>
      <c r="O35" s="11"/>
    </row>
    <row r="36" spans="1:19" ht="17" customHeight="1" thickBot="1" x14ac:dyDescent="0.25">
      <c r="A36" s="51" t="s">
        <v>41</v>
      </c>
      <c r="B36" s="51"/>
      <c r="G36" s="15">
        <v>36.013495910149757</v>
      </c>
      <c r="H36" s="43">
        <v>3.46676298122139</v>
      </c>
      <c r="I36" s="42">
        <v>4.4040637102773985</v>
      </c>
      <c r="O36" s="43">
        <v>5.5612542833585978</v>
      </c>
    </row>
    <row r="37" spans="1:19" ht="17" thickBot="1" x14ac:dyDescent="0.25">
      <c r="A37" s="51"/>
      <c r="B37" s="51"/>
      <c r="G37" s="15">
        <v>40.179596000000018</v>
      </c>
      <c r="H37" s="44">
        <v>3.6517593796410779</v>
      </c>
      <c r="I37" s="42">
        <v>4.6425472824537106</v>
      </c>
      <c r="J37" s="42">
        <v>5.1803783323631505</v>
      </c>
      <c r="O37" s="43">
        <v>5.9312544604877919</v>
      </c>
    </row>
    <row r="38" spans="1:19" ht="17" thickBot="1" x14ac:dyDescent="0.25">
      <c r="A38" s="40">
        <v>43</v>
      </c>
      <c r="B38" s="6">
        <f>L45</f>
        <v>0.66270172284968587</v>
      </c>
      <c r="G38" s="15">
        <v>46.885640371752189</v>
      </c>
      <c r="H38" s="42">
        <v>3.9697253149109692</v>
      </c>
      <c r="I38" s="42">
        <v>5.0650998916935865</v>
      </c>
      <c r="L38" s="42">
        <v>6.1090388682762029</v>
      </c>
      <c r="O38" s="11"/>
    </row>
    <row r="39" spans="1:19" ht="17" thickBot="1" x14ac:dyDescent="0.25">
      <c r="A39" s="40">
        <v>70</v>
      </c>
      <c r="B39" s="4">
        <f>H45</f>
        <v>0.37898760445546681</v>
      </c>
      <c r="C39" t="s">
        <v>42</v>
      </c>
      <c r="G39" s="16">
        <v>60.011248993187053</v>
      </c>
      <c r="H39" s="42">
        <v>4.5056947314239606</v>
      </c>
      <c r="I39" s="42">
        <v>5.6843900642634484</v>
      </c>
      <c r="J39" s="13"/>
      <c r="K39" s="13"/>
      <c r="L39" s="13"/>
      <c r="M39" s="42">
        <v>7.0074258873780604</v>
      </c>
      <c r="N39" s="13"/>
      <c r="O39" s="14"/>
    </row>
    <row r="41" spans="1:19" ht="17" customHeight="1" thickBot="1" x14ac:dyDescent="0.25">
      <c r="A41" s="51" t="s">
        <v>43</v>
      </c>
      <c r="B41" s="51"/>
    </row>
    <row r="42" spans="1:19" ht="17" customHeight="1" thickBot="1" x14ac:dyDescent="0.25">
      <c r="A42" s="52"/>
      <c r="B42" s="52"/>
      <c r="G42" s="4" t="s">
        <v>0</v>
      </c>
      <c r="H42" s="53" t="s">
        <v>1</v>
      </c>
      <c r="I42" s="54"/>
      <c r="J42" s="54"/>
      <c r="K42" s="54"/>
      <c r="L42" s="54"/>
      <c r="M42" s="54"/>
      <c r="N42" s="54"/>
      <c r="O42" s="55"/>
    </row>
    <row r="43" spans="1:19" ht="17" thickBot="1" x14ac:dyDescent="0.25">
      <c r="A43" s="40">
        <v>41</v>
      </c>
      <c r="B43" s="6">
        <f>N47</f>
        <v>1.0060086127535146</v>
      </c>
      <c r="G43" s="6"/>
      <c r="H43" s="5">
        <v>70</v>
      </c>
      <c r="I43" s="2">
        <v>55</v>
      </c>
      <c r="J43" s="2">
        <v>48</v>
      </c>
      <c r="K43" s="2">
        <v>47</v>
      </c>
      <c r="L43" s="2">
        <v>43</v>
      </c>
      <c r="M43" s="2">
        <v>42</v>
      </c>
      <c r="N43" s="2">
        <v>41</v>
      </c>
      <c r="O43" s="3">
        <v>40</v>
      </c>
      <c r="P43" t="s">
        <v>5</v>
      </c>
    </row>
    <row r="44" spans="1:19" ht="17" thickBot="1" x14ac:dyDescent="0.25">
      <c r="A44" s="40">
        <v>70</v>
      </c>
      <c r="B44" s="4">
        <f>H47</f>
        <v>0.59115773908146607</v>
      </c>
      <c r="C44" t="s">
        <v>45</v>
      </c>
      <c r="G44" s="15">
        <v>-2.6542817457305716</v>
      </c>
      <c r="H44" s="7">
        <f>H32/$R$44</f>
        <v>0.35106616886303316</v>
      </c>
      <c r="I44" s="7"/>
      <c r="J44" s="7"/>
      <c r="K44" s="7"/>
      <c r="L44" s="7"/>
      <c r="M44" s="7"/>
      <c r="N44" s="7"/>
      <c r="O44" s="6"/>
      <c r="P44" t="s">
        <v>6</v>
      </c>
      <c r="R44" s="45">
        <f>H38</f>
        <v>3.9697253149109692</v>
      </c>
    </row>
    <row r="45" spans="1:19" ht="17" thickBot="1" x14ac:dyDescent="0.25">
      <c r="G45" s="15">
        <v>0</v>
      </c>
      <c r="H45" s="27">
        <f>_xlfn.FORECAST.LINEAR(0,B33:B34,A33:A34)</f>
        <v>0.37898760445546681</v>
      </c>
      <c r="I45" s="27">
        <f>I33/$R$44</f>
        <v>0.55118347119418509</v>
      </c>
      <c r="J45" s="27"/>
      <c r="K45" s="27"/>
      <c r="L45" s="27">
        <f>L33/$R$44</f>
        <v>0.66270172284968587</v>
      </c>
      <c r="M45" s="27"/>
      <c r="N45" s="27"/>
      <c r="O45" s="37"/>
      <c r="S45" s="17"/>
    </row>
    <row r="46" spans="1:19" ht="17" customHeight="1" thickBot="1" x14ac:dyDescent="0.25">
      <c r="A46" s="51" t="s">
        <v>47</v>
      </c>
      <c r="B46" s="51"/>
      <c r="G46" s="15">
        <v>2.4791191646191955</v>
      </c>
      <c r="H46" s="7">
        <f>H34/$R$44</f>
        <v>0.40506643583507629</v>
      </c>
      <c r="I46" s="7"/>
      <c r="J46" s="7"/>
      <c r="K46" s="7"/>
      <c r="L46" s="7"/>
      <c r="M46" s="7"/>
      <c r="N46" s="7"/>
      <c r="O46" s="6"/>
    </row>
    <row r="47" spans="1:19" ht="17" thickBot="1" x14ac:dyDescent="0.25">
      <c r="A47" s="52"/>
      <c r="B47" s="52"/>
      <c r="G47" s="15">
        <v>17.113117392753022</v>
      </c>
      <c r="H47" s="28">
        <f>H35/$R$44</f>
        <v>0.59115773908146607</v>
      </c>
      <c r="I47" s="28">
        <f>I35/$R$44</f>
        <v>0.80364649835449409</v>
      </c>
      <c r="J47" s="28"/>
      <c r="K47" s="28">
        <f>K35/$R$44</f>
        <v>0.9217042207657753</v>
      </c>
      <c r="L47" s="28"/>
      <c r="M47" s="28"/>
      <c r="N47" s="28">
        <f>N35/$R$44</f>
        <v>1.0060086127535146</v>
      </c>
      <c r="O47" s="38"/>
    </row>
    <row r="48" spans="1:19" ht="17" thickBot="1" x14ac:dyDescent="0.25">
      <c r="A48" s="40">
        <v>43</v>
      </c>
      <c r="B48" s="6">
        <f>L50</f>
        <v>1.5389071997827166</v>
      </c>
      <c r="G48" s="15">
        <v>36.013495910149757</v>
      </c>
      <c r="H48" s="7">
        <f t="shared" ref="H46:H51" si="0">H36/$R$44</f>
        <v>0.87330046948075568</v>
      </c>
      <c r="I48" s="7">
        <f t="shared" ref="I48" si="1">I36/$R$44</f>
        <v>1.1094127076588851</v>
      </c>
      <c r="J48" s="7"/>
      <c r="K48" s="7"/>
      <c r="L48" s="7"/>
      <c r="M48" s="7"/>
      <c r="N48" s="7"/>
      <c r="O48" s="7">
        <f>O36/$R$44</f>
        <v>1.4009166484314601</v>
      </c>
    </row>
    <row r="49" spans="1:18" ht="17" thickBot="1" x14ac:dyDescent="0.25">
      <c r="A49" s="40">
        <v>70</v>
      </c>
      <c r="B49" s="4">
        <f>H50</f>
        <v>1</v>
      </c>
      <c r="C49" t="s">
        <v>46</v>
      </c>
      <c r="G49" s="15">
        <v>40.179596000000018</v>
      </c>
      <c r="H49" s="7">
        <f t="shared" si="0"/>
        <v>0.91990228289207898</v>
      </c>
      <c r="I49" s="7">
        <f>I37/$R$44</f>
        <v>1.1694882930603552</v>
      </c>
      <c r="J49" s="7">
        <f>J37/$R$44</f>
        <v>1.3049714832673085</v>
      </c>
      <c r="K49" s="7"/>
      <c r="L49" s="7"/>
      <c r="M49" s="7"/>
      <c r="N49" s="7"/>
      <c r="O49" s="7">
        <f>O37/$R$44</f>
        <v>1.4941221343978091</v>
      </c>
    </row>
    <row r="50" spans="1:18" ht="17" thickBot="1" x14ac:dyDescent="0.25">
      <c r="G50" s="15">
        <v>46.885640371752189</v>
      </c>
      <c r="H50" s="7">
        <f t="shared" si="0"/>
        <v>1</v>
      </c>
      <c r="I50" s="7">
        <f>I38/$R$44</f>
        <v>1.2759320834285945</v>
      </c>
      <c r="J50" s="7"/>
      <c r="K50" s="7"/>
      <c r="L50" s="7">
        <f>L38/$R$44</f>
        <v>1.5389071997827166</v>
      </c>
      <c r="M50" s="7"/>
      <c r="N50" s="7"/>
      <c r="O50" s="6"/>
    </row>
    <row r="51" spans="1:18" ht="17" thickBot="1" x14ac:dyDescent="0.25">
      <c r="G51" s="16">
        <v>60.011248993187053</v>
      </c>
      <c r="H51" s="7">
        <f t="shared" si="0"/>
        <v>1.1350142324708963</v>
      </c>
      <c r="I51" s="7">
        <f>I39/$R$44</f>
        <v>1.431935364120007</v>
      </c>
      <c r="J51" s="26"/>
      <c r="K51" s="26"/>
      <c r="L51" s="26"/>
      <c r="M51" s="7">
        <f>M39/$R$44</f>
        <v>1.7652168176616569</v>
      </c>
      <c r="N51" s="26"/>
      <c r="O51" s="4"/>
    </row>
    <row r="52" spans="1:18" x14ac:dyDescent="0.2">
      <c r="G52" s="41"/>
    </row>
    <row r="53" spans="1:18" x14ac:dyDescent="0.2">
      <c r="G53" s="41"/>
    </row>
    <row r="54" spans="1:18" ht="16" customHeight="1" x14ac:dyDescent="0.2">
      <c r="A54" s="56" t="s">
        <v>51</v>
      </c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</row>
    <row r="55" spans="1:18" ht="16" customHeight="1" x14ac:dyDescent="0.2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</row>
    <row r="56" spans="1:18" ht="16" customHeight="1" x14ac:dyDescent="0.2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</row>
    <row r="57" spans="1:18" ht="16" customHeight="1" x14ac:dyDescent="0.2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</row>
    <row r="58" spans="1:18" ht="16" customHeight="1" x14ac:dyDescent="0.2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</row>
    <row r="59" spans="1:18" ht="16" customHeight="1" x14ac:dyDescent="0.2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</row>
    <row r="60" spans="1:18" ht="16" customHeight="1" x14ac:dyDescent="0.2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</row>
    <row r="61" spans="1:18" ht="16" customHeight="1" x14ac:dyDescent="0.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</row>
    <row r="62" spans="1:18" ht="16" customHeight="1" x14ac:dyDescent="0.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</row>
    <row r="63" spans="1:18" x14ac:dyDescent="0.2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</row>
    <row r="64" spans="1:18" x14ac:dyDescent="0.2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</row>
    <row r="65" spans="1:28" x14ac:dyDescent="0.2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</row>
    <row r="66" spans="1:28" ht="17" thickBot="1" x14ac:dyDescent="0.25"/>
    <row r="67" spans="1:28" ht="17" thickBot="1" x14ac:dyDescent="0.25">
      <c r="C67" s="7" t="s">
        <v>3</v>
      </c>
      <c r="D67" s="9">
        <v>70</v>
      </c>
      <c r="G67" t="s">
        <v>44</v>
      </c>
      <c r="H67">
        <f>$B$39/H71</f>
        <v>0.49564602934052249</v>
      </c>
      <c r="I67">
        <f>$B$44/I71</f>
        <v>0.71062765098286762</v>
      </c>
      <c r="J67">
        <f>$B$49/J71</f>
        <v>1</v>
      </c>
      <c r="M67" s="61" t="s">
        <v>61</v>
      </c>
      <c r="N67" s="61"/>
      <c r="O67" s="61"/>
      <c r="P67" s="61"/>
      <c r="AB67" t="s">
        <v>11</v>
      </c>
    </row>
    <row r="68" spans="1:28" ht="23" customHeight="1" thickBot="1" x14ac:dyDescent="0.35">
      <c r="C68" s="10">
        <v>5</v>
      </c>
      <c r="D68" s="11">
        <f>Q16</f>
        <v>1.9483864565316151</v>
      </c>
      <c r="G68" s="25" t="s">
        <v>2</v>
      </c>
      <c r="M68" s="25" t="s">
        <v>2</v>
      </c>
      <c r="V68" s="48" t="s">
        <v>12</v>
      </c>
      <c r="W68" s="8" t="s">
        <v>3</v>
      </c>
      <c r="X68" s="8">
        <v>80</v>
      </c>
      <c r="Y68" s="8">
        <v>70</v>
      </c>
      <c r="Z68" s="9">
        <v>40</v>
      </c>
    </row>
    <row r="69" spans="1:28" x14ac:dyDescent="0.2">
      <c r="C69" s="10">
        <v>17</v>
      </c>
      <c r="D69" s="11">
        <f>Q14</f>
        <v>2.1197420006287322</v>
      </c>
      <c r="G69" s="29"/>
      <c r="H69" s="33">
        <v>5</v>
      </c>
      <c r="I69" s="33">
        <v>17</v>
      </c>
      <c r="J69" s="34">
        <v>47</v>
      </c>
      <c r="M69" s="29"/>
      <c r="N69" s="33">
        <v>5</v>
      </c>
      <c r="O69" s="33">
        <v>17</v>
      </c>
      <c r="P69" s="34">
        <v>47</v>
      </c>
      <c r="V69" s="49"/>
      <c r="W69">
        <v>-15</v>
      </c>
      <c r="X69">
        <f>_xlfn.FORECAST.LINEAR(W69,X70:X71,W70:W71)</f>
        <v>1.0771323383876765</v>
      </c>
      <c r="Y69">
        <f>_xlfn.FORECAST.LINEAR(W69,Y70:Y71,W70:W71)</f>
        <v>1.6627938830364202</v>
      </c>
      <c r="Z69" s="11">
        <f>_xlfn.FORECAST.LINEAR(W69,Z70:Z71,W70:W71)</f>
        <v>3.4197785169826442</v>
      </c>
    </row>
    <row r="70" spans="1:28" ht="16" customHeight="1" thickBot="1" x14ac:dyDescent="0.25">
      <c r="A70" s="57" t="s">
        <v>39</v>
      </c>
      <c r="B70" s="57"/>
      <c r="C70" s="12">
        <v>47</v>
      </c>
      <c r="D70" s="14">
        <f>_xlfn.FORECAST.LINEAR(47, D68:D69,C68:C69)</f>
        <v>2.5481308608715247</v>
      </c>
      <c r="E70" s="58" t="s">
        <v>7</v>
      </c>
      <c r="G70" s="35">
        <v>40</v>
      </c>
      <c r="H70" s="1">
        <f>_xlfn.FORECAST.LINEAR(40,B38:B39,A38:A39)/H67</f>
        <v>1.4006477862963467</v>
      </c>
      <c r="I70" s="1">
        <f>_xlfn.FORECAST.LINEAR(40,B43:B44,A43:A44)/I67</f>
        <v>1.4357924489466971</v>
      </c>
      <c r="J70" s="30">
        <f>_xlfn.FORECAST.LINEAR(40,B48:B49,A48:A49)/J67</f>
        <v>1.5987857775363516</v>
      </c>
      <c r="M70" s="35">
        <v>40</v>
      </c>
      <c r="N70" s="1">
        <f>H70*$D$70</f>
        <v>3.5690338494731053</v>
      </c>
      <c r="O70" s="1">
        <f t="shared" ref="O70:P70" si="2">I70*$D$70</f>
        <v>3.658587048967382</v>
      </c>
      <c r="P70" s="1">
        <f t="shared" si="2"/>
        <v>4.0739153796628536</v>
      </c>
      <c r="V70" s="49"/>
      <c r="W70">
        <v>5</v>
      </c>
      <c r="X70">
        <f>N72</f>
        <v>1.4081706588844511</v>
      </c>
      <c r="Y70">
        <f>N71</f>
        <v>1.9483864565316151</v>
      </c>
      <c r="Z70" s="11">
        <f>N70</f>
        <v>3.5690338494731053</v>
      </c>
    </row>
    <row r="71" spans="1:28" ht="17" thickBot="1" x14ac:dyDescent="0.25">
      <c r="A71" s="57"/>
      <c r="B71" s="57"/>
      <c r="E71" s="58"/>
      <c r="G71" s="35">
        <v>70</v>
      </c>
      <c r="H71" s="1">
        <f>D68/D70</f>
        <v>0.76463359337252323</v>
      </c>
      <c r="I71" s="1">
        <f>D69/D70</f>
        <v>0.83188113812323095</v>
      </c>
      <c r="J71" s="30">
        <f>D70/D70</f>
        <v>1</v>
      </c>
      <c r="M71" s="35">
        <v>70</v>
      </c>
      <c r="N71" s="1">
        <f t="shared" ref="N71:N72" si="3">H71*$D$70</f>
        <v>1.9483864565316151</v>
      </c>
      <c r="O71" s="1">
        <f t="shared" ref="O71:O72" si="4">I71*$D$70</f>
        <v>2.1197420006287322</v>
      </c>
      <c r="P71" s="1">
        <f t="shared" ref="P71:P72" si="5">J71*$D$70</f>
        <v>2.5481308608715247</v>
      </c>
      <c r="V71" s="50"/>
      <c r="W71" s="13">
        <v>17</v>
      </c>
      <c r="X71" s="13">
        <f>O72</f>
        <v>1.6067936511825158</v>
      </c>
      <c r="Y71" s="13">
        <f>O71</f>
        <v>2.1197420006287322</v>
      </c>
      <c r="Z71" s="14">
        <f>O70</f>
        <v>3.658587048967382</v>
      </c>
    </row>
    <row r="72" spans="1:28" ht="17" thickBot="1" x14ac:dyDescent="0.25">
      <c r="E72" s="58"/>
      <c r="G72" s="36">
        <v>80</v>
      </c>
      <c r="H72" s="31">
        <f>_xlfn.FORECAST.LINEAR(G72,H70:H71,G70:G71)</f>
        <v>0.5526288623979152</v>
      </c>
      <c r="I72" s="31">
        <f>_xlfn.FORECAST.LINEAR(G72,I70:I71,G70:G71)</f>
        <v>0.6305773678487423</v>
      </c>
      <c r="J72" s="32">
        <f>_xlfn.FORECAST.LINEAR(G72,J70:J71,G70:G71)</f>
        <v>0.80040474082121582</v>
      </c>
      <c r="M72" s="36">
        <v>80</v>
      </c>
      <c r="N72" s="1">
        <f t="shared" si="3"/>
        <v>1.4081706588844511</v>
      </c>
      <c r="O72" s="1">
        <f t="shared" si="4"/>
        <v>1.6067936511825158</v>
      </c>
      <c r="P72" s="1">
        <f t="shared" si="5"/>
        <v>2.0395360212744142</v>
      </c>
    </row>
    <row r="73" spans="1:28" x14ac:dyDescent="0.2">
      <c r="E73" s="58"/>
    </row>
    <row r="74" spans="1:28" x14ac:dyDescent="0.2">
      <c r="E74" s="58"/>
    </row>
    <row r="75" spans="1:28" ht="17" thickBot="1" x14ac:dyDescent="0.25">
      <c r="G75" t="s">
        <v>44</v>
      </c>
      <c r="H75">
        <f>$B$39/H79</f>
        <v>0.50245813384789761</v>
      </c>
      <c r="I75">
        <f>$B$44/I79</f>
        <v>0.71705655147613911</v>
      </c>
      <c r="J75">
        <f>$B$49/J79</f>
        <v>1</v>
      </c>
    </row>
    <row r="76" spans="1:28" ht="23" thickBot="1" x14ac:dyDescent="0.35">
      <c r="C76" s="7" t="s">
        <v>3</v>
      </c>
      <c r="D76" s="9">
        <v>70</v>
      </c>
      <c r="G76" s="25" t="s">
        <v>8</v>
      </c>
      <c r="M76" s="25" t="s">
        <v>8</v>
      </c>
      <c r="V76" s="48" t="s">
        <v>12</v>
      </c>
      <c r="W76" s="8" t="s">
        <v>3</v>
      </c>
      <c r="X76" s="8">
        <v>80</v>
      </c>
      <c r="Y76" s="8">
        <v>70</v>
      </c>
      <c r="Z76" s="9">
        <v>40</v>
      </c>
    </row>
    <row r="77" spans="1:28" ht="16" customHeight="1" x14ac:dyDescent="0.2">
      <c r="C77" s="10">
        <v>5</v>
      </c>
      <c r="D77" s="11">
        <f>Q15</f>
        <v>2.1145979449296624</v>
      </c>
      <c r="G77" s="29"/>
      <c r="H77" s="33">
        <v>5</v>
      </c>
      <c r="I77" s="33">
        <v>17</v>
      </c>
      <c r="J77" s="34">
        <v>47</v>
      </c>
      <c r="M77" s="29"/>
      <c r="N77" s="33">
        <v>5</v>
      </c>
      <c r="O77" s="33">
        <v>17</v>
      </c>
      <c r="P77" s="34">
        <v>47</v>
      </c>
      <c r="V77" s="49"/>
      <c r="W77">
        <v>-15</v>
      </c>
      <c r="X77">
        <f>_xlfn.FORECAST.LINEAR(W77,X78:X79,W78:W79)</f>
        <v>1.1554900929396634</v>
      </c>
      <c r="Y77">
        <f>_xlfn.FORECAST.LINEAR(W77,Y78:Y79,W78:W79)</f>
        <v>1.7867937112227221</v>
      </c>
      <c r="Z77">
        <f>_xlfn.FORECAST.LINEAR(W77,Z78:Z79,W78:W79)</f>
        <v>3.6807045660719018</v>
      </c>
    </row>
    <row r="78" spans="1:28" x14ac:dyDescent="0.2">
      <c r="C78" s="10">
        <v>17</v>
      </c>
      <c r="D78" s="11">
        <f>Q11</f>
        <v>2.3112804851538264</v>
      </c>
      <c r="G78" s="35">
        <v>40</v>
      </c>
      <c r="H78" s="1">
        <f>_xlfn.FORECAST.LINEAR(40,B38:B39,A38:A39)/H75</f>
        <v>1.3816584248838739</v>
      </c>
      <c r="I78" s="1">
        <f>_xlfn.FORECAST.LINEAR(40,B43:B44,A43:A44)/I75</f>
        <v>1.4229195914792256</v>
      </c>
      <c r="J78" s="30">
        <f>_xlfn.FORECAST.LINEAR(40,B48:B49,A48:A49)/J75</f>
        <v>1.5987857775363516</v>
      </c>
      <c r="M78" s="35">
        <v>40</v>
      </c>
      <c r="N78" s="1">
        <f>H78*$D$79</f>
        <v>3.8734983083977155</v>
      </c>
      <c r="O78" s="1">
        <f t="shared" ref="O78:P78" si="6">I78*$D$79</f>
        <v>3.989174553793204</v>
      </c>
      <c r="P78" s="1">
        <f t="shared" si="6"/>
        <v>4.4822178139274085</v>
      </c>
      <c r="V78" s="49"/>
      <c r="W78">
        <v>5</v>
      </c>
      <c r="X78">
        <f>N80</f>
        <v>1.5282978237736449</v>
      </c>
      <c r="Y78">
        <f>N79</f>
        <v>2.1145979449296624</v>
      </c>
      <c r="Z78" s="11">
        <f>N78</f>
        <v>3.8734983083977155</v>
      </c>
    </row>
    <row r="79" spans="1:28" ht="17" thickBot="1" x14ac:dyDescent="0.25">
      <c r="C79" s="12">
        <v>47</v>
      </c>
      <c r="D79" s="19">
        <f>Q8</f>
        <v>2.8035136895164783</v>
      </c>
      <c r="G79" s="35">
        <v>70</v>
      </c>
      <c r="H79">
        <f>D77/D79</f>
        <v>0.75426703027598441</v>
      </c>
      <c r="I79">
        <f>D78/D79</f>
        <v>0.82442275698409473</v>
      </c>
      <c r="J79">
        <f>D79/D79</f>
        <v>1</v>
      </c>
      <c r="M79" s="35">
        <v>70</v>
      </c>
      <c r="N79" s="1">
        <f t="shared" ref="N79:N80" si="7">H79*$D$79</f>
        <v>2.1145979449296624</v>
      </c>
      <c r="O79" s="1">
        <f t="shared" ref="O79:O80" si="8">I79*$D$79</f>
        <v>2.3112804851538264</v>
      </c>
      <c r="P79" s="1">
        <f t="shared" ref="P79:P80" si="9">J79*$D$79</f>
        <v>2.8035136895164783</v>
      </c>
      <c r="V79" s="49"/>
      <c r="W79" s="13">
        <v>17</v>
      </c>
      <c r="X79" s="13">
        <f>O80</f>
        <v>1.7519824622740336</v>
      </c>
      <c r="Y79" s="13">
        <f>O79</f>
        <v>2.3112804851538264</v>
      </c>
      <c r="Z79" s="14">
        <f>O78</f>
        <v>3.989174553793204</v>
      </c>
    </row>
    <row r="80" spans="1:28" ht="17" thickBot="1" x14ac:dyDescent="0.25">
      <c r="G80" s="36">
        <v>80</v>
      </c>
      <c r="H80" s="31">
        <f>_xlfn.FORECAST.LINEAR(G80,H78:H79,G78:G79)</f>
        <v>0.54513656540668798</v>
      </c>
      <c r="I80" s="31">
        <f>_xlfn.FORECAST.LINEAR(G80,I78:I79,G78:G79)</f>
        <v>0.62492381215238435</v>
      </c>
      <c r="J80" s="32">
        <f>_xlfn.FORECAST.LINEAR(G80,J78:J79,G78:G79)</f>
        <v>0.80040474082121582</v>
      </c>
      <c r="L80" s="19"/>
      <c r="M80" s="36">
        <v>80</v>
      </c>
      <c r="N80" s="1">
        <f t="shared" si="7"/>
        <v>1.5282978237736449</v>
      </c>
      <c r="O80" s="1">
        <f t="shared" si="8"/>
        <v>1.7519824622740336</v>
      </c>
      <c r="P80" s="1">
        <f t="shared" si="9"/>
        <v>2.2439456480461675</v>
      </c>
      <c r="V80" s="50"/>
      <c r="W80" s="13">
        <v>47</v>
      </c>
      <c r="X80" s="13">
        <f>P80</f>
        <v>2.2439456480461675</v>
      </c>
      <c r="Y80" s="13">
        <f>P79</f>
        <v>2.8035136895164783</v>
      </c>
      <c r="Z80" s="14">
        <f>P78</f>
        <v>4.4822178139274085</v>
      </c>
    </row>
    <row r="83" spans="3:26" ht="17" thickBot="1" x14ac:dyDescent="0.25">
      <c r="G83" t="s">
        <v>44</v>
      </c>
      <c r="H83">
        <f>$B$39/H87</f>
        <v>0.61505618038147436</v>
      </c>
      <c r="I83">
        <f>$B$44/I87</f>
        <v>0.81444016417445242</v>
      </c>
      <c r="J83">
        <f>$B$49/J87</f>
        <v>1</v>
      </c>
    </row>
    <row r="84" spans="3:26" ht="23" customHeight="1" thickBot="1" x14ac:dyDescent="0.35">
      <c r="C84" s="7" t="s">
        <v>3</v>
      </c>
      <c r="D84" s="9">
        <v>70</v>
      </c>
      <c r="G84" s="25" t="s">
        <v>9</v>
      </c>
      <c r="M84" s="25" t="s">
        <v>9</v>
      </c>
      <c r="V84" s="48" t="s">
        <v>12</v>
      </c>
      <c r="W84" s="8" t="s">
        <v>3</v>
      </c>
      <c r="X84" s="8">
        <v>80</v>
      </c>
      <c r="Y84" s="8">
        <v>70</v>
      </c>
      <c r="Z84" s="9">
        <v>40</v>
      </c>
    </row>
    <row r="85" spans="3:26" x14ac:dyDescent="0.2">
      <c r="C85" s="10">
        <v>5</v>
      </c>
      <c r="D85" s="11">
        <f>_xlfn.FORECAST.LINEAR(C85,D86:D87,C86:C87)</f>
        <v>2.1790518594432875</v>
      </c>
      <c r="G85" s="29"/>
      <c r="H85" s="33">
        <v>5</v>
      </c>
      <c r="I85" s="33">
        <v>17</v>
      </c>
      <c r="J85" s="34">
        <v>47</v>
      </c>
      <c r="M85" s="29"/>
      <c r="N85" s="33">
        <v>5</v>
      </c>
      <c r="O85" s="33">
        <v>17</v>
      </c>
      <c r="P85" s="34">
        <v>47</v>
      </c>
      <c r="V85" s="49"/>
      <c r="W85">
        <v>-15</v>
      </c>
      <c r="X85">
        <f>_xlfn.FORECAST.LINEAR(W85,X86:X87,W86:W87)</f>
        <v>1.0019122558746485</v>
      </c>
      <c r="Y85">
        <f>_xlfn.FORECAST.LINEAR(W85,Y86:Y87,W86:W87)</f>
        <v>1.5327112463137631</v>
      </c>
      <c r="Z85" s="11">
        <f>_xlfn.FORECAST.LINEAR(W85,Z86:Z87,W86:W87)</f>
        <v>3.1251082176311091</v>
      </c>
    </row>
    <row r="86" spans="3:26" ht="17" thickBot="1" x14ac:dyDescent="0.25">
      <c r="C86" s="10">
        <v>17</v>
      </c>
      <c r="D86" s="11">
        <f>Q12</f>
        <v>2.566856227321002</v>
      </c>
      <c r="G86" s="35">
        <v>40</v>
      </c>
      <c r="H86" s="1">
        <f>_xlfn.FORECAST.LINEAR(40,B38:B39,A38:A39)/H83</f>
        <v>1.128718864920274</v>
      </c>
      <c r="I86" s="1">
        <f>_xlfn.FORECAST.LINEAR(40,B43:B44,A43:A44)/I83</f>
        <v>1.252779344849918</v>
      </c>
      <c r="J86" s="30">
        <f>_xlfn.FORECAST.LINEAR(40,B48:B49,A48:A49)/J83</f>
        <v>1.5987857775363516</v>
      </c>
      <c r="M86" s="35">
        <v>40</v>
      </c>
      <c r="N86" s="1">
        <f>H86*$D$87</f>
        <v>3.991564312120444</v>
      </c>
      <c r="O86" s="1">
        <f t="shared" ref="O86:P86" si="10">I86*$D$87</f>
        <v>4.4302877175865873</v>
      </c>
      <c r="P86" s="1">
        <f t="shared" si="10"/>
        <v>5.6538934987948481</v>
      </c>
      <c r="V86" s="49"/>
      <c r="W86" s="13">
        <v>17</v>
      </c>
      <c r="X86" s="13">
        <f>O88</f>
        <v>1.9457123972324737</v>
      </c>
      <c r="Y86" s="13">
        <f>O87</f>
        <v>2.566856227321002</v>
      </c>
      <c r="Z86" s="14">
        <f>O86</f>
        <v>4.4302877175865873</v>
      </c>
    </row>
    <row r="87" spans="3:26" ht="17" thickBot="1" x14ac:dyDescent="0.25">
      <c r="C87" s="12">
        <v>47</v>
      </c>
      <c r="D87">
        <f>Q9</f>
        <v>3.5363671470152886</v>
      </c>
      <c r="G87" s="35">
        <v>70</v>
      </c>
      <c r="H87">
        <f>D85/D87</f>
        <v>0.61618371873022804</v>
      </c>
      <c r="I87">
        <f>D86/D87</f>
        <v>0.72584551337873426</v>
      </c>
      <c r="J87">
        <f>D87/D87</f>
        <v>1</v>
      </c>
      <c r="M87" s="35">
        <v>70</v>
      </c>
      <c r="N87" s="1">
        <f t="shared" ref="N87:N88" si="11">H87*$D$87</f>
        <v>2.1790518594432875</v>
      </c>
      <c r="O87" s="1">
        <f t="shared" ref="O87:O88" si="12">I87*$D$87</f>
        <v>2.566856227321002</v>
      </c>
      <c r="P87" s="1">
        <f t="shared" ref="P87:P88" si="13">J87*$D$87</f>
        <v>3.5363671470152886</v>
      </c>
      <c r="V87" s="50"/>
      <c r="W87" s="13">
        <v>47</v>
      </c>
      <c r="X87" s="13">
        <f>P88</f>
        <v>2.8305250297554347</v>
      </c>
      <c r="Y87" s="13">
        <f>P87</f>
        <v>3.5363671470152886</v>
      </c>
      <c r="Z87" s="14">
        <f>P86</f>
        <v>5.6538934987948481</v>
      </c>
    </row>
    <row r="88" spans="3:26" ht="17" thickBot="1" x14ac:dyDescent="0.25">
      <c r="G88" s="36">
        <v>80</v>
      </c>
      <c r="H88" s="31">
        <f>_xlfn.FORECAST.LINEAR(G88,H86:H87,G86:G87)</f>
        <v>0.44533867000021266</v>
      </c>
      <c r="I88" s="31">
        <f>_xlfn.FORECAST.LINEAR(G88,I86:I87,G86:G87)</f>
        <v>0.55020090288833967</v>
      </c>
      <c r="J88" s="32">
        <f>_xlfn.FORECAST.LINEAR(G88,J86:J87,G86:G87)</f>
        <v>0.80040474082121582</v>
      </c>
      <c r="L88" s="19"/>
      <c r="M88" s="36">
        <v>80</v>
      </c>
      <c r="N88" s="1">
        <f t="shared" si="11"/>
        <v>1.5748810418842352</v>
      </c>
      <c r="O88" s="1">
        <f t="shared" si="12"/>
        <v>1.9457123972324737</v>
      </c>
      <c r="P88" s="1">
        <f t="shared" si="13"/>
        <v>2.8305250297554347</v>
      </c>
    </row>
    <row r="91" spans="3:26" ht="17" thickBot="1" x14ac:dyDescent="0.25">
      <c r="G91" t="s">
        <v>44</v>
      </c>
      <c r="H91">
        <f>$B$39/H95</f>
        <v>0.61724290130687787</v>
      </c>
      <c r="I91">
        <f>$B$44/I95</f>
        <v>0.81619351322395617</v>
      </c>
      <c r="J91">
        <f>$B$49/J95</f>
        <v>1</v>
      </c>
    </row>
    <row r="92" spans="3:26" ht="23" thickBot="1" x14ac:dyDescent="0.35">
      <c r="C92" s="7" t="s">
        <v>3</v>
      </c>
      <c r="D92" s="9">
        <v>70</v>
      </c>
      <c r="G92" s="25" t="s">
        <v>10</v>
      </c>
      <c r="M92" s="25" t="s">
        <v>10</v>
      </c>
    </row>
    <row r="93" spans="3:26" ht="16" customHeight="1" x14ac:dyDescent="0.2">
      <c r="C93" s="10">
        <v>5</v>
      </c>
      <c r="D93" s="11">
        <f>_xlfn.FORECAST.LINEAR(C93,D94:D95,C94:C95)</f>
        <v>2.343880694530371</v>
      </c>
      <c r="G93" s="29"/>
      <c r="H93" s="33">
        <v>5</v>
      </c>
      <c r="I93" s="33">
        <v>17</v>
      </c>
      <c r="J93" s="34">
        <v>47</v>
      </c>
      <c r="M93" s="29"/>
      <c r="N93" s="33">
        <v>5</v>
      </c>
      <c r="O93" s="33">
        <v>17</v>
      </c>
      <c r="P93" s="34">
        <v>47</v>
      </c>
      <c r="V93" s="48" t="s">
        <v>12</v>
      </c>
      <c r="W93" s="8" t="s">
        <v>3</v>
      </c>
      <c r="X93" s="8">
        <v>80</v>
      </c>
      <c r="Y93" s="8">
        <v>70</v>
      </c>
      <c r="Z93" s="9">
        <v>40</v>
      </c>
    </row>
    <row r="94" spans="3:26" x14ac:dyDescent="0.2">
      <c r="C94" s="10">
        <v>17</v>
      </c>
      <c r="D94" s="11">
        <f>Q13</f>
        <v>2.7648835257533828</v>
      </c>
      <c r="G94" s="35">
        <v>40</v>
      </c>
      <c r="H94" s="1">
        <f>_xlfn.FORECAST.LINEAR(40,B38:B39,A38:A39)/H91</f>
        <v>1.1247201260840831</v>
      </c>
      <c r="I94" s="1">
        <f>_xlfn.FORECAST.LINEAR(40,B43:B44,A43:A44)/I91</f>
        <v>1.2500881209698675</v>
      </c>
      <c r="J94" s="30">
        <f>_xlfn.FORECAST.LINEAR(40,B48:B49,A48:A49)/J91</f>
        <v>1.5987857775363516</v>
      </c>
      <c r="M94" s="35">
        <v>40</v>
      </c>
      <c r="N94" s="1">
        <f>H94*$D$95</f>
        <v>4.2934960412304042</v>
      </c>
      <c r="O94" s="1">
        <f t="shared" ref="O94:P94" si="14">I94*$D$95</f>
        <v>4.7720746469260131</v>
      </c>
      <c r="P94" s="1">
        <f t="shared" si="14"/>
        <v>6.1031898046737938</v>
      </c>
      <c r="V94" s="49"/>
      <c r="W94">
        <v>-15</v>
      </c>
      <c r="X94">
        <f>_xlfn.FORECAST.LINEAR(W94,X95:X96,W95:W96)</f>
        <v>1.0722062526576743</v>
      </c>
      <c r="Y94">
        <f>_xlfn.FORECAST.LINEAR(W94,Y95:Y96,W95:W96)</f>
        <v>1.6422093091586838</v>
      </c>
      <c r="Z94" s="11">
        <f>_xlfn.FORECAST.LINEAR(W94,Z95:Z96,W95:W96)</f>
        <v>3.352218478661714</v>
      </c>
    </row>
    <row r="95" spans="3:26" ht="17" thickBot="1" x14ac:dyDescent="0.25">
      <c r="C95" s="12">
        <v>47</v>
      </c>
      <c r="D95" s="14">
        <f>Q10</f>
        <v>3.8173906038109133</v>
      </c>
      <c r="G95" s="35">
        <v>70</v>
      </c>
      <c r="H95">
        <f>D93/D95</f>
        <v>0.6140007501958189</v>
      </c>
      <c r="I95">
        <f>D94/D95</f>
        <v>0.72428625013987058</v>
      </c>
      <c r="J95">
        <f>D95/D95</f>
        <v>1</v>
      </c>
      <c r="M95" s="35">
        <v>70</v>
      </c>
      <c r="N95" s="1">
        <f t="shared" ref="N95:N96" si="15">H95*$D$95</f>
        <v>2.343880694530371</v>
      </c>
      <c r="O95" s="1">
        <f t="shared" ref="O95:O96" si="16">I95*$D$95</f>
        <v>2.7648835257533828</v>
      </c>
      <c r="P95" s="1">
        <f t="shared" ref="P95:P96" si="17">J95*$D$95</f>
        <v>3.8173906038109133</v>
      </c>
      <c r="V95" s="49"/>
      <c r="W95" s="13">
        <v>17</v>
      </c>
      <c r="X95" s="13">
        <f>O96</f>
        <v>2.0958198186958392</v>
      </c>
      <c r="Y95" s="13">
        <f>O95</f>
        <v>2.7648835257533828</v>
      </c>
      <c r="Z95" s="14">
        <f>O94</f>
        <v>4.7720746469260131</v>
      </c>
    </row>
    <row r="96" spans="3:26" ht="17" thickBot="1" x14ac:dyDescent="0.25">
      <c r="G96" s="36">
        <v>80</v>
      </c>
      <c r="H96" s="31">
        <f>_xlfn.FORECAST.LINEAR(G96,H94:H95,G94:G95)</f>
        <v>0.44376095823306416</v>
      </c>
      <c r="I96" s="31">
        <f>_xlfn.FORECAST.LINEAR(G96,I94:I95,G94:G95)</f>
        <v>0.54901895986320493</v>
      </c>
      <c r="J96" s="32">
        <f>_xlfn.FORECAST.LINEAR(G96,J94:J95,G94:G95)</f>
        <v>0.80040474082121582</v>
      </c>
      <c r="L96" s="19"/>
      <c r="M96" s="36">
        <v>80</v>
      </c>
      <c r="N96" s="1">
        <f t="shared" si="15"/>
        <v>1.6940089122970263</v>
      </c>
      <c r="O96" s="1">
        <f t="shared" si="16"/>
        <v>2.0958198186958392</v>
      </c>
      <c r="P96" s="1">
        <f t="shared" si="17"/>
        <v>3.0554575368566188</v>
      </c>
      <c r="V96" s="50"/>
      <c r="W96" s="13">
        <v>47</v>
      </c>
      <c r="X96" s="13">
        <f>P96</f>
        <v>3.0554575368566188</v>
      </c>
      <c r="Y96" s="13">
        <f>P95</f>
        <v>3.8173906038109133</v>
      </c>
      <c r="Z96" s="14">
        <f>P94</f>
        <v>6.1031898046737938</v>
      </c>
    </row>
    <row r="99" spans="1:11" x14ac:dyDescent="0.2">
      <c r="A99" s="23"/>
    </row>
    <row r="100" spans="1:11" x14ac:dyDescent="0.2">
      <c r="A100" s="23"/>
    </row>
    <row r="101" spans="1:11" x14ac:dyDescent="0.2">
      <c r="A101" s="23"/>
    </row>
    <row r="102" spans="1:11" x14ac:dyDescent="0.2">
      <c r="A102" s="23"/>
    </row>
    <row r="103" spans="1:11" ht="16" customHeight="1" x14ac:dyDescent="0.2">
      <c r="A103" s="23"/>
    </row>
    <row r="104" spans="1:11" ht="16" customHeight="1" x14ac:dyDescent="0.2"/>
    <row r="107" spans="1:11" x14ac:dyDescent="0.2">
      <c r="H107" s="20"/>
      <c r="K107" s="21"/>
    </row>
    <row r="116" spans="8:11" ht="16" customHeight="1" x14ac:dyDescent="0.2"/>
    <row r="117" spans="8:11" ht="16" customHeight="1" x14ac:dyDescent="0.2"/>
    <row r="120" spans="8:11" x14ac:dyDescent="0.2">
      <c r="H120" s="20"/>
      <c r="K120" s="21"/>
    </row>
  </sheetData>
  <mergeCells count="17">
    <mergeCell ref="A36:B37"/>
    <mergeCell ref="A2:L4"/>
    <mergeCell ref="A21:R23"/>
    <mergeCell ref="A24:R26"/>
    <mergeCell ref="H30:O30"/>
    <mergeCell ref="A31:B32"/>
    <mergeCell ref="V76:V80"/>
    <mergeCell ref="V84:V87"/>
    <mergeCell ref="V93:V96"/>
    <mergeCell ref="M67:P67"/>
    <mergeCell ref="A41:B42"/>
    <mergeCell ref="H42:O42"/>
    <mergeCell ref="A46:B47"/>
    <mergeCell ref="A54:R65"/>
    <mergeCell ref="V68:V71"/>
    <mergeCell ref="A70:B71"/>
    <mergeCell ref="E70:E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Capacity - OLD</vt:lpstr>
      <vt:lpstr>Capacity</vt:lpstr>
      <vt:lpstr>COP</vt:lpstr>
      <vt:lpstr>COP - Absolute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Bianchi, Carlo</dc:creator>
  <cp:lastModifiedBy>Bianchi, Carlo</cp:lastModifiedBy>
  <dcterms:created xsi:type="dcterms:W3CDTF">2024-07-25T15:34:37Z</dcterms:created>
  <dcterms:modified xsi:type="dcterms:W3CDTF">2024-09-05T19:29:17Z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2024-07-25T20:58:40Z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59b7cf38-4630-45ed-a3a0-cfb302d9489e</vt:lpwstr>
  </property>
  <property fmtid="{D5CDD505-2E9C-101B-9397-08002B2CF9AE}" pid="8" name="MSIP_Label_95965d95-ecc0-4720-b759-1f33c42ed7da_ContentBits">
    <vt:lpwstr>0</vt:lpwstr>
  </property>
</Properties>
</file>